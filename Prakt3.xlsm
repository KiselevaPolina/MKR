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qjw82f\Desktop\"/>
    </mc:Choice>
  </mc:AlternateContent>
  <xr:revisionPtr revIDLastSave="0" documentId="13_ncr:1_{AB27B865-9497-4C53-8044-681651E7895C}" xr6:coauthVersionLast="44" xr6:coauthVersionMax="44" xr10:uidLastSave="{00000000-0000-0000-0000-000000000000}"/>
  <bookViews>
    <workbookView xWindow="28680" yWindow="-120" windowWidth="29040" windowHeight="15840" xr2:uid="{00000000-000D-0000-FFFF-FFFF00000000}"/>
  </bookViews>
  <sheets>
    <sheet name="2Д Неявный" sheetId="3" r:id="rId1"/>
    <sheet name="Неявный" sheetId="1" r:id="rId2"/>
  </sheets>
  <externalReferences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N74" i="3" l="1"/>
  <c r="BR74" i="3"/>
  <c r="AO40" i="3" l="1"/>
  <c r="AN40" i="3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AZ52" i="3"/>
  <c r="BA52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AZ53" i="3"/>
  <c r="BA53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AZ54" i="3"/>
  <c r="BA54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AO56" i="3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AO57" i="3"/>
  <c r="AP57" i="3"/>
  <c r="AQ57" i="3"/>
  <c r="AR57" i="3"/>
  <c r="AS57" i="3"/>
  <c r="AT57" i="3"/>
  <c r="AU57" i="3"/>
  <c r="AV57" i="3"/>
  <c r="AW57" i="3"/>
  <c r="AX57" i="3"/>
  <c r="AY57" i="3"/>
  <c r="AZ57" i="3"/>
  <c r="BA57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AO58" i="3"/>
  <c r="AP58" i="3"/>
  <c r="AQ58" i="3"/>
  <c r="AR58" i="3"/>
  <c r="AS58" i="3"/>
  <c r="AT58" i="3"/>
  <c r="AU58" i="3"/>
  <c r="AV58" i="3"/>
  <c r="AW58" i="3"/>
  <c r="AX58" i="3"/>
  <c r="AY58" i="3"/>
  <c r="AZ58" i="3"/>
  <c r="BA58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AO59" i="3"/>
  <c r="AP59" i="3"/>
  <c r="AQ59" i="3"/>
  <c r="AR59" i="3"/>
  <c r="AS59" i="3"/>
  <c r="AT59" i="3"/>
  <c r="AU59" i="3"/>
  <c r="AV59" i="3"/>
  <c r="AW59" i="3"/>
  <c r="AX59" i="3"/>
  <c r="AY59" i="3"/>
  <c r="AZ59" i="3"/>
  <c r="BA59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AO60" i="3"/>
  <c r="AP60" i="3"/>
  <c r="AQ60" i="3"/>
  <c r="AR60" i="3"/>
  <c r="AS60" i="3"/>
  <c r="AT60" i="3"/>
  <c r="AU60" i="3"/>
  <c r="AV60" i="3"/>
  <c r="AW60" i="3"/>
  <c r="AX60" i="3"/>
  <c r="AY60" i="3"/>
  <c r="AZ60" i="3"/>
  <c r="BA60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AO61" i="3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AO62" i="3"/>
  <c r="AP62" i="3"/>
  <c r="AQ62" i="3"/>
  <c r="AR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AZ63" i="3"/>
  <c r="BA63" i="3"/>
  <c r="BB63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AO64" i="3"/>
  <c r="AP64" i="3"/>
  <c r="AQ64" i="3"/>
  <c r="AR64" i="3"/>
  <c r="AS64" i="3"/>
  <c r="AT64" i="3"/>
  <c r="AU64" i="3"/>
  <c r="AV64" i="3"/>
  <c r="AW64" i="3"/>
  <c r="AX64" i="3"/>
  <c r="AY64" i="3"/>
  <c r="AZ64" i="3"/>
  <c r="BA64" i="3"/>
  <c r="BB64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AO65" i="3"/>
  <c r="AP65" i="3"/>
  <c r="AQ65" i="3"/>
  <c r="AR65" i="3"/>
  <c r="AS65" i="3"/>
  <c r="AT65" i="3"/>
  <c r="AU65" i="3"/>
  <c r="AV65" i="3"/>
  <c r="AW65" i="3"/>
  <c r="AX65" i="3"/>
  <c r="AY65" i="3"/>
  <c r="AZ65" i="3"/>
  <c r="BA65" i="3"/>
  <c r="BB65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AO66" i="3"/>
  <c r="AP66" i="3"/>
  <c r="AQ66" i="3"/>
  <c r="AR66" i="3"/>
  <c r="AS66" i="3"/>
  <c r="AT66" i="3"/>
  <c r="AU66" i="3"/>
  <c r="AV66" i="3"/>
  <c r="AW66" i="3"/>
  <c r="AX66" i="3"/>
  <c r="AY66" i="3"/>
  <c r="AZ66" i="3"/>
  <c r="BA66" i="3"/>
  <c r="BB66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AO67" i="3"/>
  <c r="AP67" i="3"/>
  <c r="AQ67" i="3"/>
  <c r="AR67" i="3"/>
  <c r="AS67" i="3"/>
  <c r="AT67" i="3"/>
  <c r="AU67" i="3"/>
  <c r="AV67" i="3"/>
  <c r="AW67" i="3"/>
  <c r="AX67" i="3"/>
  <c r="AY67" i="3"/>
  <c r="AZ67" i="3"/>
  <c r="BA67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AO68" i="3"/>
  <c r="AP68" i="3"/>
  <c r="AQ68" i="3"/>
  <c r="AR68" i="3"/>
  <c r="AS68" i="3"/>
  <c r="AT68" i="3"/>
  <c r="AU68" i="3"/>
  <c r="AV68" i="3"/>
  <c r="AW68" i="3"/>
  <c r="AX68" i="3"/>
  <c r="AY68" i="3"/>
  <c r="AZ68" i="3"/>
  <c r="BA68" i="3"/>
  <c r="BB68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AO69" i="3"/>
  <c r="AP69" i="3"/>
  <c r="AQ69" i="3"/>
  <c r="AR69" i="3"/>
  <c r="AS69" i="3"/>
  <c r="AT69" i="3"/>
  <c r="AU69" i="3"/>
  <c r="AV69" i="3"/>
  <c r="AW69" i="3"/>
  <c r="AX69" i="3"/>
  <c r="AY69" i="3"/>
  <c r="AZ69" i="3"/>
  <c r="BA69" i="3"/>
  <c r="BB69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AN75" i="3"/>
  <c r="AN79" i="3"/>
  <c r="BR80" i="3"/>
  <c r="AN83" i="3"/>
  <c r="AN87" i="3"/>
  <c r="BR88" i="3"/>
  <c r="AN91" i="3"/>
  <c r="AN95" i="3"/>
  <c r="BR96" i="3"/>
  <c r="AN97" i="3"/>
  <c r="AN99" i="3"/>
  <c r="AN103" i="3"/>
  <c r="BR104" i="3"/>
  <c r="DD40" i="3"/>
  <c r="DD41" i="3"/>
  <c r="DD42" i="3"/>
  <c r="DD43" i="3"/>
  <c r="DD46" i="3"/>
  <c r="DD48" i="3"/>
  <c r="DD50" i="3"/>
  <c r="DD51" i="3"/>
  <c r="DD52" i="3"/>
  <c r="DD53" i="3"/>
  <c r="DD54" i="3"/>
  <c r="DD56" i="3"/>
  <c r="DD57" i="3"/>
  <c r="DD61" i="3"/>
  <c r="DD64" i="3"/>
  <c r="DD65" i="3"/>
  <c r="DD69" i="3"/>
  <c r="AK104" i="3"/>
  <c r="AK103" i="3"/>
  <c r="AK102" i="3"/>
  <c r="AK101" i="3"/>
  <c r="AK100" i="3"/>
  <c r="AK99" i="3"/>
  <c r="AK98" i="3"/>
  <c r="AK97" i="3"/>
  <c r="AK96" i="3"/>
  <c r="AK95" i="3"/>
  <c r="AK94" i="3"/>
  <c r="AK93" i="3"/>
  <c r="AK92" i="3"/>
  <c r="AK91" i="3"/>
  <c r="AK90" i="3"/>
  <c r="AK89" i="3"/>
  <c r="AK88" i="3"/>
  <c r="AK87" i="3"/>
  <c r="AK86" i="3"/>
  <c r="AK85" i="3"/>
  <c r="AK84" i="3"/>
  <c r="AK83" i="3"/>
  <c r="AK82" i="3"/>
  <c r="AK81" i="3"/>
  <c r="AK80" i="3"/>
  <c r="AK79" i="3"/>
  <c r="AK78" i="3"/>
  <c r="AK77" i="3"/>
  <c r="AK76" i="3"/>
  <c r="AK75" i="3"/>
  <c r="AK74" i="3"/>
  <c r="CZ69" i="3"/>
  <c r="CZ68" i="3"/>
  <c r="CZ67" i="3"/>
  <c r="CZ66" i="3"/>
  <c r="CZ65" i="3"/>
  <c r="CZ64" i="3"/>
  <c r="CZ63" i="3"/>
  <c r="CZ62" i="3"/>
  <c r="CZ61" i="3"/>
  <c r="CZ60" i="3"/>
  <c r="CZ59" i="3"/>
  <c r="CZ58" i="3"/>
  <c r="CZ57" i="3"/>
  <c r="CZ56" i="3"/>
  <c r="CZ55" i="3"/>
  <c r="CZ54" i="3"/>
  <c r="CZ53" i="3"/>
  <c r="CZ52" i="3"/>
  <c r="CZ51" i="3"/>
  <c r="CZ50" i="3"/>
  <c r="CZ49" i="3"/>
  <c r="CZ48" i="3"/>
  <c r="CZ47" i="3"/>
  <c r="CZ46" i="3"/>
  <c r="CZ45" i="3"/>
  <c r="CZ44" i="3"/>
  <c r="CZ43" i="3"/>
  <c r="CZ42" i="3"/>
  <c r="CZ41" i="3"/>
  <c r="CZ40" i="3"/>
  <c r="CZ39" i="3"/>
  <c r="AK69" i="3"/>
  <c r="AK68" i="3"/>
  <c r="BR103" i="3" s="1"/>
  <c r="AK67" i="3"/>
  <c r="BR102" i="3" s="1"/>
  <c r="AK66" i="3"/>
  <c r="BR101" i="3" s="1"/>
  <c r="AK65" i="3"/>
  <c r="BR100" i="3" s="1"/>
  <c r="AK64" i="3"/>
  <c r="BR99" i="3" s="1"/>
  <c r="AK63" i="3"/>
  <c r="BR98" i="3" s="1"/>
  <c r="AK62" i="3"/>
  <c r="BR97" i="3" s="1"/>
  <c r="AK61" i="3"/>
  <c r="AK60" i="3"/>
  <c r="BR95" i="3" s="1"/>
  <c r="AK59" i="3"/>
  <c r="BR94" i="3" s="1"/>
  <c r="AK58" i="3"/>
  <c r="BR93" i="3" s="1"/>
  <c r="AK57" i="3"/>
  <c r="BR92" i="3" s="1"/>
  <c r="AK56" i="3"/>
  <c r="BR91" i="3" s="1"/>
  <c r="AK55" i="3"/>
  <c r="BR90" i="3" s="1"/>
  <c r="AK54" i="3"/>
  <c r="BR89" i="3" s="1"/>
  <c r="AK53" i="3"/>
  <c r="AK52" i="3"/>
  <c r="BR87" i="3" s="1"/>
  <c r="AK51" i="3"/>
  <c r="BR86" i="3" s="1"/>
  <c r="AK50" i="3"/>
  <c r="BR85" i="3" s="1"/>
  <c r="AK49" i="3"/>
  <c r="BR84" i="3" s="1"/>
  <c r="AK48" i="3"/>
  <c r="BR83" i="3" s="1"/>
  <c r="AK47" i="3"/>
  <c r="BR82" i="3" s="1"/>
  <c r="AK46" i="3"/>
  <c r="BR81" i="3" s="1"/>
  <c r="AK45" i="3"/>
  <c r="AK44" i="3"/>
  <c r="BR79" i="3" s="1"/>
  <c r="AK43" i="3"/>
  <c r="BR78" i="3" s="1"/>
  <c r="AK42" i="3"/>
  <c r="BR77" i="3" s="1"/>
  <c r="AK41" i="3"/>
  <c r="BR76" i="3" s="1"/>
  <c r="AK40" i="3"/>
  <c r="BR75" i="3" s="1"/>
  <c r="AK39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69" i="3"/>
  <c r="AN104" i="3" s="1"/>
  <c r="G68" i="3"/>
  <c r="G67" i="3"/>
  <c r="AN102" i="3" s="1"/>
  <c r="G66" i="3"/>
  <c r="AN101" i="3" s="1"/>
  <c r="G65" i="3"/>
  <c r="AN100" i="3" s="1"/>
  <c r="G64" i="3"/>
  <c r="G63" i="3"/>
  <c r="AN98" i="3" s="1"/>
  <c r="G62" i="3"/>
  <c r="G61" i="3"/>
  <c r="AN96" i="3" s="1"/>
  <c r="G60" i="3"/>
  <c r="G59" i="3"/>
  <c r="AN94" i="3" s="1"/>
  <c r="G58" i="3"/>
  <c r="AN93" i="3" s="1"/>
  <c r="G57" i="3"/>
  <c r="AN92" i="3" s="1"/>
  <c r="G56" i="3"/>
  <c r="G55" i="3"/>
  <c r="AN90" i="3" s="1"/>
  <c r="G54" i="3"/>
  <c r="AN89" i="3" s="1"/>
  <c r="G53" i="3"/>
  <c r="AN88" i="3" s="1"/>
  <c r="G52" i="3"/>
  <c r="G51" i="3"/>
  <c r="AN86" i="3" s="1"/>
  <c r="G50" i="3"/>
  <c r="AN85" i="3" s="1"/>
  <c r="G49" i="3"/>
  <c r="AN84" i="3" s="1"/>
  <c r="G48" i="3"/>
  <c r="G47" i="3"/>
  <c r="AN82" i="3" s="1"/>
  <c r="G46" i="3"/>
  <c r="AN81" i="3" s="1"/>
  <c r="G45" i="3"/>
  <c r="AN80" i="3" s="1"/>
  <c r="G44" i="3"/>
  <c r="G43" i="3"/>
  <c r="AN78" i="3" s="1"/>
  <c r="G42" i="3"/>
  <c r="AN77" i="3" s="1"/>
  <c r="G41" i="3"/>
  <c r="AN76" i="3" s="1"/>
  <c r="G40" i="3"/>
  <c r="G39" i="3"/>
  <c r="G4" i="3"/>
  <c r="G5" i="3"/>
  <c r="AN41" i="3" s="1"/>
  <c r="G8" i="3"/>
  <c r="DD44" i="3" s="1"/>
  <c r="G9" i="3"/>
  <c r="AN45" i="3" s="1"/>
  <c r="G11" i="3"/>
  <c r="DD47" i="3" s="1"/>
  <c r="G12" i="3"/>
  <c r="AN48" i="3" s="1"/>
  <c r="G13" i="3"/>
  <c r="AN49" i="3" s="1"/>
  <c r="G19" i="3"/>
  <c r="DD55" i="3" s="1"/>
  <c r="G20" i="3"/>
  <c r="AN56" i="3" s="1"/>
  <c r="G21" i="3"/>
  <c r="AN57" i="3" s="1"/>
  <c r="G22" i="3"/>
  <c r="AN58" i="3" s="1"/>
  <c r="G23" i="3"/>
  <c r="DD59" i="3" s="1"/>
  <c r="G24" i="3"/>
  <c r="DD60" i="3" s="1"/>
  <c r="G25" i="3"/>
  <c r="AN61" i="3" s="1"/>
  <c r="G26" i="3"/>
  <c r="AN62" i="3" s="1"/>
  <c r="G27" i="3"/>
  <c r="DD63" i="3" s="1"/>
  <c r="G28" i="3"/>
  <c r="AN64" i="3" s="1"/>
  <c r="G29" i="3"/>
  <c r="AN65" i="3" s="1"/>
  <c r="G30" i="3"/>
  <c r="AN66" i="3" s="1"/>
  <c r="G31" i="3"/>
  <c r="DD67" i="3" s="1"/>
  <c r="G32" i="3"/>
  <c r="DD68" i="3" s="1"/>
  <c r="G33" i="3"/>
  <c r="AN69" i="3" s="1"/>
  <c r="AK4" i="3"/>
  <c r="BR40" i="3" s="1"/>
  <c r="AK5" i="3"/>
  <c r="BR41" i="3" s="1"/>
  <c r="AK6" i="3"/>
  <c r="BR42" i="3" s="1"/>
  <c r="AK7" i="3"/>
  <c r="BR43" i="3" s="1"/>
  <c r="AK8" i="3"/>
  <c r="BR44" i="3" s="1"/>
  <c r="AK9" i="3"/>
  <c r="BR45" i="3" s="1"/>
  <c r="AK10" i="3"/>
  <c r="BR46" i="3" s="1"/>
  <c r="AK11" i="3"/>
  <c r="BR47" i="3" s="1"/>
  <c r="AK12" i="3"/>
  <c r="BR48" i="3" s="1"/>
  <c r="AK13" i="3"/>
  <c r="BR49" i="3" s="1"/>
  <c r="AK14" i="3"/>
  <c r="BR50" i="3" s="1"/>
  <c r="AK15" i="3"/>
  <c r="BR51" i="3" s="1"/>
  <c r="AK16" i="3"/>
  <c r="BR52" i="3" s="1"/>
  <c r="AK17" i="3"/>
  <c r="BR53" i="3" s="1"/>
  <c r="AK18" i="3"/>
  <c r="BR54" i="3" s="1"/>
  <c r="AK19" i="3"/>
  <c r="BR55" i="3" s="1"/>
  <c r="AK20" i="3"/>
  <c r="BR56" i="3" s="1"/>
  <c r="AK21" i="3"/>
  <c r="BR57" i="3" s="1"/>
  <c r="AK22" i="3"/>
  <c r="BR58" i="3" s="1"/>
  <c r="AK23" i="3"/>
  <c r="BR59" i="3" s="1"/>
  <c r="AK24" i="3"/>
  <c r="BR60" i="3" s="1"/>
  <c r="AK25" i="3"/>
  <c r="BR61" i="3" s="1"/>
  <c r="AK26" i="3"/>
  <c r="BR62" i="3" s="1"/>
  <c r="AK27" i="3"/>
  <c r="BR63" i="3" s="1"/>
  <c r="AK28" i="3"/>
  <c r="BR64" i="3" s="1"/>
  <c r="AK29" i="3"/>
  <c r="BR65" i="3" s="1"/>
  <c r="AK30" i="3"/>
  <c r="BR66" i="3" s="1"/>
  <c r="AK31" i="3"/>
  <c r="BR67" i="3" s="1"/>
  <c r="AK32" i="3"/>
  <c r="BR68" i="3" s="1"/>
  <c r="AK33" i="3"/>
  <c r="BR69" i="3" s="1"/>
  <c r="B25" i="3"/>
  <c r="B27" i="3" s="1"/>
  <c r="B20" i="3"/>
  <c r="K34" i="3"/>
  <c r="N34" i="3"/>
  <c r="O34" i="3"/>
  <c r="S34" i="3"/>
  <c r="V34" i="3"/>
  <c r="W34" i="3"/>
  <c r="AA34" i="3"/>
  <c r="AD34" i="3"/>
  <c r="AE34" i="3"/>
  <c r="AI34" i="3"/>
  <c r="H34" i="3"/>
  <c r="AL4" i="3"/>
  <c r="AL8" i="3"/>
  <c r="AL11" i="3"/>
  <c r="AL12" i="3"/>
  <c r="AL16" i="3"/>
  <c r="AL19" i="3"/>
  <c r="AL20" i="3"/>
  <c r="AL24" i="3"/>
  <c r="AL27" i="3"/>
  <c r="AL28" i="3"/>
  <c r="AL32" i="3"/>
  <c r="AK3" i="3"/>
  <c r="BR39" i="3" s="1"/>
  <c r="G3" i="3"/>
  <c r="AN39" i="3" s="1"/>
  <c r="L2" i="3"/>
  <c r="O2" i="3"/>
  <c r="P2" i="3"/>
  <c r="T2" i="3"/>
  <c r="W2" i="3"/>
  <c r="X2" i="3"/>
  <c r="AB2" i="3"/>
  <c r="AE2" i="3"/>
  <c r="AF2" i="3"/>
  <c r="AJ2" i="3"/>
  <c r="F3" i="3"/>
  <c r="F4" i="3"/>
  <c r="F8" i="3"/>
  <c r="F11" i="3"/>
  <c r="F12" i="3"/>
  <c r="F16" i="3"/>
  <c r="F19" i="3"/>
  <c r="F20" i="3"/>
  <c r="F24" i="3"/>
  <c r="F27" i="3"/>
  <c r="F28" i="3"/>
  <c r="F32" i="3"/>
  <c r="B6" i="3"/>
  <c r="AL6" i="3" s="1"/>
  <c r="B5" i="3"/>
  <c r="B21" i="3" s="1"/>
  <c r="BW52" i="3" l="1"/>
  <c r="BX52" i="3" s="1"/>
  <c r="BY52" i="3" s="1"/>
  <c r="BZ52" i="3" s="1"/>
  <c r="CA52" i="3" s="1"/>
  <c r="CB52" i="3" s="1"/>
  <c r="CC52" i="3" s="1"/>
  <c r="CD52" i="3" s="1"/>
  <c r="CE52" i="3" s="1"/>
  <c r="CF52" i="3" s="1"/>
  <c r="CG52" i="3" s="1"/>
  <c r="CH52" i="3" s="1"/>
  <c r="CI52" i="3" s="1"/>
  <c r="CJ52" i="3" s="1"/>
  <c r="CK52" i="3" s="1"/>
  <c r="CL52" i="3" s="1"/>
  <c r="CM52" i="3" s="1"/>
  <c r="CN52" i="3" s="1"/>
  <c r="CO52" i="3" s="1"/>
  <c r="CP52" i="3" s="1"/>
  <c r="CQ52" i="3" s="1"/>
  <c r="CR52" i="3" s="1"/>
  <c r="CS52" i="3" s="1"/>
  <c r="CT52" i="3" s="1"/>
  <c r="CU52" i="3" s="1"/>
  <c r="CV52" i="3" s="1"/>
  <c r="CW52" i="3" s="1"/>
  <c r="CX52" i="3" s="1"/>
  <c r="CY52" i="3" s="1"/>
  <c r="BW45" i="3"/>
  <c r="BX45" i="3" s="1"/>
  <c r="BY45" i="3" s="1"/>
  <c r="BZ45" i="3" s="1"/>
  <c r="CA45" i="3" s="1"/>
  <c r="CB45" i="3" s="1"/>
  <c r="CC45" i="3" s="1"/>
  <c r="CD45" i="3" s="1"/>
  <c r="CE45" i="3" s="1"/>
  <c r="CF45" i="3" s="1"/>
  <c r="CG45" i="3" s="1"/>
  <c r="CH45" i="3" s="1"/>
  <c r="CI45" i="3" s="1"/>
  <c r="CJ45" i="3" s="1"/>
  <c r="CK45" i="3" s="1"/>
  <c r="CL45" i="3" s="1"/>
  <c r="CM45" i="3" s="1"/>
  <c r="CN45" i="3" s="1"/>
  <c r="CO45" i="3" s="1"/>
  <c r="CP45" i="3" s="1"/>
  <c r="CQ45" i="3" s="1"/>
  <c r="CR45" i="3" s="1"/>
  <c r="CS45" i="3" s="1"/>
  <c r="F29" i="3"/>
  <c r="F21" i="3"/>
  <c r="F13" i="3"/>
  <c r="F5" i="3"/>
  <c r="AG2" i="3"/>
  <c r="Y2" i="3"/>
  <c r="Q2" i="3"/>
  <c r="I2" i="3"/>
  <c r="AL29" i="3"/>
  <c r="AL21" i="3"/>
  <c r="AL13" i="3"/>
  <c r="AL5" i="3"/>
  <c r="AF34" i="3"/>
  <c r="X34" i="3"/>
  <c r="P34" i="3"/>
  <c r="B22" i="3"/>
  <c r="BW67" i="3"/>
  <c r="BX67" i="3" s="1"/>
  <c r="BY67" i="3" s="1"/>
  <c r="BZ67" i="3" s="1"/>
  <c r="CA67" i="3" s="1"/>
  <c r="CB67" i="3" s="1"/>
  <c r="CC67" i="3" s="1"/>
  <c r="CD67" i="3" s="1"/>
  <c r="CE67" i="3" s="1"/>
  <c r="CF67" i="3" s="1"/>
  <c r="CG67" i="3" s="1"/>
  <c r="CH67" i="3" s="1"/>
  <c r="CI67" i="3" s="1"/>
  <c r="CJ67" i="3" s="1"/>
  <c r="CK67" i="3" s="1"/>
  <c r="CL67" i="3" s="1"/>
  <c r="CM67" i="3" s="1"/>
  <c r="CN67" i="3" s="1"/>
  <c r="CO67" i="3" s="1"/>
  <c r="CP67" i="3" s="1"/>
  <c r="CQ67" i="3" s="1"/>
  <c r="CR67" i="3" s="1"/>
  <c r="BW61" i="3"/>
  <c r="BX61" i="3" s="1"/>
  <c r="BY61" i="3" s="1"/>
  <c r="BZ61" i="3" s="1"/>
  <c r="CA61" i="3" s="1"/>
  <c r="CB61" i="3" s="1"/>
  <c r="CC61" i="3" s="1"/>
  <c r="CD61" i="3" s="1"/>
  <c r="CE61" i="3" s="1"/>
  <c r="CF61" i="3" s="1"/>
  <c r="CG61" i="3" s="1"/>
  <c r="CH61" i="3" s="1"/>
  <c r="CI61" i="3" s="1"/>
  <c r="CJ61" i="3" s="1"/>
  <c r="CK61" i="3" s="1"/>
  <c r="CL61" i="3" s="1"/>
  <c r="CM61" i="3" s="1"/>
  <c r="CN61" i="3" s="1"/>
  <c r="CO61" i="3" s="1"/>
  <c r="CP61" i="3" s="1"/>
  <c r="CQ61" i="3" s="1"/>
  <c r="CR61" i="3" s="1"/>
  <c r="CS61" i="3" s="1"/>
  <c r="CT61" i="3" s="1"/>
  <c r="CU61" i="3" s="1"/>
  <c r="CV61" i="3" s="1"/>
  <c r="CW61" i="3" s="1"/>
  <c r="CX61" i="3" s="1"/>
  <c r="DD66" i="3"/>
  <c r="DD58" i="3"/>
  <c r="CR103" i="3"/>
  <c r="CR102" i="3" s="1"/>
  <c r="CR101" i="3" s="1"/>
  <c r="CR100" i="3" s="1"/>
  <c r="CR99" i="3" s="1"/>
  <c r="CR98" i="3" s="1"/>
  <c r="CR97" i="3" s="1"/>
  <c r="CR96" i="3" s="1"/>
  <c r="CR95" i="3" s="1"/>
  <c r="CR94" i="3" s="1"/>
  <c r="CR93" i="3" s="1"/>
  <c r="CR92" i="3" s="1"/>
  <c r="CR91" i="3" s="1"/>
  <c r="CR90" i="3" s="1"/>
  <c r="CR89" i="3" s="1"/>
  <c r="CR88" i="3" s="1"/>
  <c r="CR87" i="3" s="1"/>
  <c r="CR86" i="3" s="1"/>
  <c r="CR85" i="3" s="1"/>
  <c r="CR84" i="3" s="1"/>
  <c r="CR83" i="3" s="1"/>
  <c r="CR82" i="3" s="1"/>
  <c r="CR81" i="3" s="1"/>
  <c r="CR80" i="3" s="1"/>
  <c r="CR79" i="3" s="1"/>
  <c r="CR78" i="3" s="1"/>
  <c r="CR77" i="3" s="1"/>
  <c r="CR76" i="3" s="1"/>
  <c r="CR75" i="3" s="1"/>
  <c r="CR74" i="3" s="1"/>
  <c r="CB103" i="3"/>
  <c r="CB102" i="3" s="1"/>
  <c r="CB101" i="3" s="1"/>
  <c r="CB100" i="3" s="1"/>
  <c r="CB99" i="3" s="1"/>
  <c r="CB98" i="3" s="1"/>
  <c r="CB97" i="3" s="1"/>
  <c r="CB96" i="3" s="1"/>
  <c r="CB95" i="3" s="1"/>
  <c r="CB94" i="3" s="1"/>
  <c r="CB93" i="3" s="1"/>
  <c r="CB92" i="3" s="1"/>
  <c r="CB91" i="3" s="1"/>
  <c r="CB90" i="3" s="1"/>
  <c r="CB89" i="3" s="1"/>
  <c r="CB88" i="3" s="1"/>
  <c r="CB87" i="3" s="1"/>
  <c r="CB86" i="3" s="1"/>
  <c r="CB85" i="3" s="1"/>
  <c r="CB84" i="3" s="1"/>
  <c r="CB83" i="3" s="1"/>
  <c r="CB82" i="3" s="1"/>
  <c r="CB81" i="3" s="1"/>
  <c r="CB80" i="3" s="1"/>
  <c r="CB79" i="3" s="1"/>
  <c r="CB78" i="3" s="1"/>
  <c r="CB77" i="3" s="1"/>
  <c r="CB76" i="3" s="1"/>
  <c r="CB75" i="3" s="1"/>
  <c r="CB74" i="3" s="1"/>
  <c r="CO103" i="3"/>
  <c r="CO102" i="3" s="1"/>
  <c r="CO101" i="3" s="1"/>
  <c r="CO100" i="3" s="1"/>
  <c r="CO99" i="3" s="1"/>
  <c r="CO98" i="3" s="1"/>
  <c r="CO97" i="3" s="1"/>
  <c r="CO96" i="3" s="1"/>
  <c r="CO95" i="3" s="1"/>
  <c r="CO94" i="3" s="1"/>
  <c r="CO93" i="3" s="1"/>
  <c r="CO92" i="3" s="1"/>
  <c r="CO91" i="3" s="1"/>
  <c r="CO90" i="3" s="1"/>
  <c r="CO89" i="3" s="1"/>
  <c r="CO88" i="3" s="1"/>
  <c r="CO87" i="3" s="1"/>
  <c r="CO86" i="3" s="1"/>
  <c r="CO85" i="3" s="1"/>
  <c r="CO84" i="3" s="1"/>
  <c r="CO83" i="3" s="1"/>
  <c r="CO82" i="3" s="1"/>
  <c r="CO81" i="3" s="1"/>
  <c r="CO80" i="3" s="1"/>
  <c r="CO79" i="3" s="1"/>
  <c r="CO78" i="3" s="1"/>
  <c r="CO77" i="3" s="1"/>
  <c r="CO76" i="3" s="1"/>
  <c r="CO75" i="3" s="1"/>
  <c r="CO74" i="3" s="1"/>
  <c r="BW56" i="3"/>
  <c r="BX56" i="3" s="1"/>
  <c r="BY56" i="3" s="1"/>
  <c r="BZ56" i="3" s="1"/>
  <c r="CA56" i="3" s="1"/>
  <c r="CB56" i="3" s="1"/>
  <c r="CC56" i="3" s="1"/>
  <c r="CD56" i="3" s="1"/>
  <c r="CE56" i="3" s="1"/>
  <c r="CF56" i="3" s="1"/>
  <c r="CG56" i="3" s="1"/>
  <c r="CH56" i="3" s="1"/>
  <c r="CI56" i="3" s="1"/>
  <c r="CJ56" i="3" s="1"/>
  <c r="CK56" i="3" s="1"/>
  <c r="CL56" i="3" s="1"/>
  <c r="CM56" i="3" s="1"/>
  <c r="CN56" i="3" s="1"/>
  <c r="CO56" i="3" s="1"/>
  <c r="CP56" i="3" s="1"/>
  <c r="CQ56" i="3" s="1"/>
  <c r="CR56" i="3" s="1"/>
  <c r="CS56" i="3" s="1"/>
  <c r="CT56" i="3" s="1"/>
  <c r="CU56" i="3" s="1"/>
  <c r="CV56" i="3" s="1"/>
  <c r="CW56" i="3" s="1"/>
  <c r="CX56" i="3" s="1"/>
  <c r="CY56" i="3" s="1"/>
  <c r="BW48" i="3"/>
  <c r="BX48" i="3" s="1"/>
  <c r="BY48" i="3" s="1"/>
  <c r="BZ48" i="3" s="1"/>
  <c r="CA48" i="3" s="1"/>
  <c r="CB48" i="3" s="1"/>
  <c r="CC48" i="3" s="1"/>
  <c r="CD48" i="3" s="1"/>
  <c r="CE48" i="3" s="1"/>
  <c r="CF48" i="3" s="1"/>
  <c r="CG48" i="3" s="1"/>
  <c r="CH48" i="3" s="1"/>
  <c r="CI48" i="3" s="1"/>
  <c r="CJ48" i="3" s="1"/>
  <c r="CK48" i="3" s="1"/>
  <c r="CL48" i="3" s="1"/>
  <c r="CM48" i="3" s="1"/>
  <c r="CN48" i="3" s="1"/>
  <c r="CO48" i="3" s="1"/>
  <c r="CP48" i="3" s="1"/>
  <c r="CQ48" i="3" s="1"/>
  <c r="CR48" i="3" s="1"/>
  <c r="CS48" i="3" s="1"/>
  <c r="CT48" i="3" s="1"/>
  <c r="BW42" i="3"/>
  <c r="BX42" i="3" s="1"/>
  <c r="BY42" i="3" s="1"/>
  <c r="BZ42" i="3" s="1"/>
  <c r="CA42" i="3" s="1"/>
  <c r="CB42" i="3" s="1"/>
  <c r="CC42" i="3" s="1"/>
  <c r="CD42" i="3" s="1"/>
  <c r="CE42" i="3" s="1"/>
  <c r="CF42" i="3" s="1"/>
  <c r="CG42" i="3" s="1"/>
  <c r="CH42" i="3" s="1"/>
  <c r="CI42" i="3" s="1"/>
  <c r="DD49" i="3"/>
  <c r="DE68" i="3"/>
  <c r="AN67" i="3"/>
  <c r="DE60" i="3"/>
  <c r="AN59" i="3"/>
  <c r="CL103" i="3"/>
  <c r="CL102" i="3" s="1"/>
  <c r="CL101" i="3" s="1"/>
  <c r="CL100" i="3" s="1"/>
  <c r="CL99" i="3" s="1"/>
  <c r="CL98" i="3" s="1"/>
  <c r="CL97" i="3" s="1"/>
  <c r="CL96" i="3" s="1"/>
  <c r="CL95" i="3" s="1"/>
  <c r="CL94" i="3" s="1"/>
  <c r="CL93" i="3" s="1"/>
  <c r="CL92" i="3" s="1"/>
  <c r="CL91" i="3" s="1"/>
  <c r="CL90" i="3" s="1"/>
  <c r="CL89" i="3" s="1"/>
  <c r="CL88" i="3" s="1"/>
  <c r="CL87" i="3" s="1"/>
  <c r="CL86" i="3" s="1"/>
  <c r="CL85" i="3" s="1"/>
  <c r="CL84" i="3" s="1"/>
  <c r="CL83" i="3" s="1"/>
  <c r="CL82" i="3" s="1"/>
  <c r="CL81" i="3" s="1"/>
  <c r="CL80" i="3" s="1"/>
  <c r="CL79" i="3" s="1"/>
  <c r="CL78" i="3" s="1"/>
  <c r="CL77" i="3" s="1"/>
  <c r="CL76" i="3" s="1"/>
  <c r="CL75" i="3" s="1"/>
  <c r="CL74" i="3" s="1"/>
  <c r="BV103" i="3"/>
  <c r="BV102" i="3" s="1"/>
  <c r="BV101" i="3" s="1"/>
  <c r="BV100" i="3" s="1"/>
  <c r="BV99" i="3" s="1"/>
  <c r="BV98" i="3" s="1"/>
  <c r="BV97" i="3" s="1"/>
  <c r="BV96" i="3" s="1"/>
  <c r="BV95" i="3" s="1"/>
  <c r="BV94" i="3" s="1"/>
  <c r="BV93" i="3" s="1"/>
  <c r="BV92" i="3" s="1"/>
  <c r="BV91" i="3" s="1"/>
  <c r="BV90" i="3" s="1"/>
  <c r="BV89" i="3" s="1"/>
  <c r="BV88" i="3" s="1"/>
  <c r="BV87" i="3" s="1"/>
  <c r="BV86" i="3" s="1"/>
  <c r="BV85" i="3" s="1"/>
  <c r="BV84" i="3" s="1"/>
  <c r="BV83" i="3" s="1"/>
  <c r="BV82" i="3" s="1"/>
  <c r="BV81" i="3" s="1"/>
  <c r="BV80" i="3" s="1"/>
  <c r="BV79" i="3" s="1"/>
  <c r="BV78" i="3" s="1"/>
  <c r="BV77" i="3" s="1"/>
  <c r="BV76" i="3" s="1"/>
  <c r="BV75" i="3" s="1"/>
  <c r="BV74" i="3" s="1"/>
  <c r="CM103" i="3"/>
  <c r="CM102" i="3" s="1"/>
  <c r="CM101" i="3" s="1"/>
  <c r="CM100" i="3" s="1"/>
  <c r="CM99" i="3" s="1"/>
  <c r="CM98" i="3" s="1"/>
  <c r="CM97" i="3" s="1"/>
  <c r="CM96" i="3" s="1"/>
  <c r="CM95" i="3" s="1"/>
  <c r="CM94" i="3" s="1"/>
  <c r="CM93" i="3" s="1"/>
  <c r="CM92" i="3" s="1"/>
  <c r="CM91" i="3" s="1"/>
  <c r="CM90" i="3" s="1"/>
  <c r="CM89" i="3" s="1"/>
  <c r="CM88" i="3" s="1"/>
  <c r="CM87" i="3" s="1"/>
  <c r="CM86" i="3" s="1"/>
  <c r="CM85" i="3" s="1"/>
  <c r="CM84" i="3" s="1"/>
  <c r="CM83" i="3" s="1"/>
  <c r="CM82" i="3" s="1"/>
  <c r="CM81" i="3" s="1"/>
  <c r="CM80" i="3" s="1"/>
  <c r="CM79" i="3" s="1"/>
  <c r="CM78" i="3" s="1"/>
  <c r="CM77" i="3" s="1"/>
  <c r="CM76" i="3" s="1"/>
  <c r="CM75" i="3" s="1"/>
  <c r="CM74" i="3" s="1"/>
  <c r="AN68" i="3"/>
  <c r="AN60" i="3"/>
  <c r="AN44" i="3"/>
  <c r="DD45" i="3"/>
  <c r="DE45" i="3" s="1"/>
  <c r="DF45" i="3" s="1"/>
  <c r="DG45" i="3" s="1"/>
  <c r="DH45" i="3" s="1"/>
  <c r="DI45" i="3" s="1"/>
  <c r="DJ45" i="3" s="1"/>
  <c r="DK45" i="3" s="1"/>
  <c r="DL45" i="3" s="1"/>
  <c r="DM45" i="3" s="1"/>
  <c r="DN45" i="3" s="1"/>
  <c r="DO45" i="3" s="1"/>
  <c r="DP45" i="3" s="1"/>
  <c r="DQ45" i="3" s="1"/>
  <c r="DR45" i="3" s="1"/>
  <c r="DS45" i="3" s="1"/>
  <c r="DT45" i="3" s="1"/>
  <c r="DU45" i="3" s="1"/>
  <c r="DV45" i="3" s="1"/>
  <c r="DW45" i="3" s="1"/>
  <c r="DX45" i="3" s="1"/>
  <c r="DY45" i="3" s="1"/>
  <c r="DZ45" i="3" s="1"/>
  <c r="EA45" i="3" s="1"/>
  <c r="EB45" i="3" s="1"/>
  <c r="F26" i="3"/>
  <c r="F18" i="3"/>
  <c r="F10" i="3"/>
  <c r="H2" i="3"/>
  <c r="AD2" i="3"/>
  <c r="V2" i="3"/>
  <c r="N2" i="3"/>
  <c r="AL3" i="3"/>
  <c r="AL26" i="3"/>
  <c r="AL18" i="3"/>
  <c r="AL10" i="3"/>
  <c r="AK34" i="3"/>
  <c r="AC34" i="3"/>
  <c r="U34" i="3"/>
  <c r="M34" i="3"/>
  <c r="CK103" i="3"/>
  <c r="CK102" i="3" s="1"/>
  <c r="CK101" i="3" s="1"/>
  <c r="CK100" i="3" s="1"/>
  <c r="CK99" i="3" s="1"/>
  <c r="CK98" i="3" s="1"/>
  <c r="CK97" i="3" s="1"/>
  <c r="CK96" i="3" s="1"/>
  <c r="CK95" i="3" s="1"/>
  <c r="CK94" i="3" s="1"/>
  <c r="CK93" i="3" s="1"/>
  <c r="CK92" i="3" s="1"/>
  <c r="CK91" i="3" s="1"/>
  <c r="CK90" i="3" s="1"/>
  <c r="CK89" i="3" s="1"/>
  <c r="CK88" i="3" s="1"/>
  <c r="CK87" i="3" s="1"/>
  <c r="CK86" i="3" s="1"/>
  <c r="CK85" i="3" s="1"/>
  <c r="CK84" i="3" s="1"/>
  <c r="CK83" i="3" s="1"/>
  <c r="CK82" i="3" s="1"/>
  <c r="CK81" i="3" s="1"/>
  <c r="CK80" i="3" s="1"/>
  <c r="CK79" i="3" s="1"/>
  <c r="CK78" i="3" s="1"/>
  <c r="CK77" i="3" s="1"/>
  <c r="CK76" i="3" s="1"/>
  <c r="CK75" i="3" s="1"/>
  <c r="CK74" i="3" s="1"/>
  <c r="CY103" i="3"/>
  <c r="CY102" i="3" s="1"/>
  <c r="CY101" i="3" s="1"/>
  <c r="CY100" i="3" s="1"/>
  <c r="CY99" i="3" s="1"/>
  <c r="CY98" i="3" s="1"/>
  <c r="CY97" i="3" s="1"/>
  <c r="CY96" i="3" s="1"/>
  <c r="CY95" i="3" s="1"/>
  <c r="CY94" i="3" s="1"/>
  <c r="CY93" i="3" s="1"/>
  <c r="CY92" i="3" s="1"/>
  <c r="CY91" i="3" s="1"/>
  <c r="CY90" i="3" s="1"/>
  <c r="CY89" i="3" s="1"/>
  <c r="CY88" i="3" s="1"/>
  <c r="CY87" i="3" s="1"/>
  <c r="CY86" i="3" s="1"/>
  <c r="CY85" i="3" s="1"/>
  <c r="CY84" i="3" s="1"/>
  <c r="CY83" i="3" s="1"/>
  <c r="CY82" i="3" s="1"/>
  <c r="CY81" i="3" s="1"/>
  <c r="CY80" i="3" s="1"/>
  <c r="CY79" i="3" s="1"/>
  <c r="CY78" i="3" s="1"/>
  <c r="CY77" i="3" s="1"/>
  <c r="CY76" i="3" s="1"/>
  <c r="CY75" i="3" s="1"/>
  <c r="CY74" i="3" s="1"/>
  <c r="CI103" i="3"/>
  <c r="CI102" i="3" s="1"/>
  <c r="CI101" i="3" s="1"/>
  <c r="CI100" i="3" s="1"/>
  <c r="CI99" i="3" s="1"/>
  <c r="CI98" i="3" s="1"/>
  <c r="CI97" i="3" s="1"/>
  <c r="CI96" i="3" s="1"/>
  <c r="CI95" i="3" s="1"/>
  <c r="CI94" i="3" s="1"/>
  <c r="CI93" i="3" s="1"/>
  <c r="CI92" i="3" s="1"/>
  <c r="CI91" i="3" s="1"/>
  <c r="CI90" i="3" s="1"/>
  <c r="CI89" i="3" s="1"/>
  <c r="CI88" i="3" s="1"/>
  <c r="CI87" i="3" s="1"/>
  <c r="CI86" i="3" s="1"/>
  <c r="CI85" i="3" s="1"/>
  <c r="CI84" i="3" s="1"/>
  <c r="CI83" i="3" s="1"/>
  <c r="CI82" i="3" s="1"/>
  <c r="CI81" i="3" s="1"/>
  <c r="CI80" i="3" s="1"/>
  <c r="CI79" i="3" s="1"/>
  <c r="CI78" i="3" s="1"/>
  <c r="CI77" i="3" s="1"/>
  <c r="CI76" i="3" s="1"/>
  <c r="CI75" i="3" s="1"/>
  <c r="CI74" i="3" s="1"/>
  <c r="F25" i="3"/>
  <c r="F17" i="3"/>
  <c r="F9" i="3"/>
  <c r="AK2" i="3"/>
  <c r="AC2" i="3"/>
  <c r="U2" i="3"/>
  <c r="M2" i="3"/>
  <c r="AL33" i="3"/>
  <c r="AL25" i="3"/>
  <c r="AL17" i="3"/>
  <c r="AL9" i="3"/>
  <c r="AJ34" i="3"/>
  <c r="AB34" i="3"/>
  <c r="T34" i="3"/>
  <c r="L34" i="3"/>
  <c r="B26" i="3"/>
  <c r="BW53" i="3"/>
  <c r="BX53" i="3" s="1"/>
  <c r="BY53" i="3" s="1"/>
  <c r="BZ53" i="3" s="1"/>
  <c r="CA53" i="3" s="1"/>
  <c r="CB53" i="3" s="1"/>
  <c r="CC53" i="3" s="1"/>
  <c r="CD53" i="3" s="1"/>
  <c r="CE53" i="3" s="1"/>
  <c r="CF53" i="3" s="1"/>
  <c r="CG53" i="3" s="1"/>
  <c r="CH53" i="3" s="1"/>
  <c r="CI53" i="3" s="1"/>
  <c r="CJ53" i="3" s="1"/>
  <c r="CK53" i="3" s="1"/>
  <c r="CL53" i="3" s="1"/>
  <c r="CM53" i="3" s="1"/>
  <c r="CN53" i="3" s="1"/>
  <c r="CO53" i="3" s="1"/>
  <c r="CP53" i="3" s="1"/>
  <c r="CQ53" i="3" s="1"/>
  <c r="CR53" i="3" s="1"/>
  <c r="CS53" i="3" s="1"/>
  <c r="CT53" i="3" s="1"/>
  <c r="CU53" i="3" s="1"/>
  <c r="CV53" i="3" s="1"/>
  <c r="CW53" i="3" s="1"/>
  <c r="CX53" i="3" s="1"/>
  <c r="BW46" i="3"/>
  <c r="BX46" i="3" s="1"/>
  <c r="BY46" i="3" s="1"/>
  <c r="BZ46" i="3" s="1"/>
  <c r="CA46" i="3" s="1"/>
  <c r="CB46" i="3" s="1"/>
  <c r="CC46" i="3" s="1"/>
  <c r="CD46" i="3" s="1"/>
  <c r="CE46" i="3" s="1"/>
  <c r="CF46" i="3" s="1"/>
  <c r="CG46" i="3" s="1"/>
  <c r="CH46" i="3" s="1"/>
  <c r="CI46" i="3" s="1"/>
  <c r="CJ46" i="3" s="1"/>
  <c r="CK46" i="3" s="1"/>
  <c r="CL46" i="3" s="1"/>
  <c r="CM46" i="3" s="1"/>
  <c r="CN46" i="3" s="1"/>
  <c r="DD39" i="3"/>
  <c r="DE39" i="3" s="1"/>
  <c r="DD62" i="3"/>
  <c r="F31" i="3"/>
  <c r="F23" i="3"/>
  <c r="F15" i="3"/>
  <c r="F7" i="3"/>
  <c r="AI2" i="3"/>
  <c r="AA2" i="3"/>
  <c r="S2" i="3"/>
  <c r="K2" i="3"/>
  <c r="AL31" i="3"/>
  <c r="AL23" i="3"/>
  <c r="AL15" i="3"/>
  <c r="AL7" i="3"/>
  <c r="AH34" i="3"/>
  <c r="Z34" i="3"/>
  <c r="R34" i="3"/>
  <c r="J34" i="3"/>
  <c r="BW69" i="3"/>
  <c r="BX69" i="3" s="1"/>
  <c r="BY69" i="3" s="1"/>
  <c r="BZ69" i="3" s="1"/>
  <c r="CA69" i="3" s="1"/>
  <c r="CB69" i="3" s="1"/>
  <c r="CC69" i="3" s="1"/>
  <c r="CD69" i="3" s="1"/>
  <c r="CE69" i="3" s="1"/>
  <c r="CF69" i="3" s="1"/>
  <c r="CG69" i="3" s="1"/>
  <c r="CH69" i="3" s="1"/>
  <c r="CI69" i="3" s="1"/>
  <c r="CJ69" i="3" s="1"/>
  <c r="CK69" i="3" s="1"/>
  <c r="CL69" i="3" s="1"/>
  <c r="CM69" i="3" s="1"/>
  <c r="CN69" i="3" s="1"/>
  <c r="CO69" i="3" s="1"/>
  <c r="CP69" i="3" s="1"/>
  <c r="CQ69" i="3" s="1"/>
  <c r="CR69" i="3" s="1"/>
  <c r="CS69" i="3" s="1"/>
  <c r="CT69" i="3" s="1"/>
  <c r="CU69" i="3" s="1"/>
  <c r="CV69" i="3" s="1"/>
  <c r="CW69" i="3" s="1"/>
  <c r="CX69" i="3" s="1"/>
  <c r="CD103" i="3"/>
  <c r="CD102" i="3" s="1"/>
  <c r="CD101" i="3" s="1"/>
  <c r="CD100" i="3" s="1"/>
  <c r="CD99" i="3" s="1"/>
  <c r="CD98" i="3" s="1"/>
  <c r="CD97" i="3" s="1"/>
  <c r="CD96" i="3" s="1"/>
  <c r="CD95" i="3" s="1"/>
  <c r="CD94" i="3" s="1"/>
  <c r="CD93" i="3" s="1"/>
  <c r="CD92" i="3" s="1"/>
  <c r="CD91" i="3" s="1"/>
  <c r="CD90" i="3" s="1"/>
  <c r="CD89" i="3" s="1"/>
  <c r="CD88" i="3" s="1"/>
  <c r="CD87" i="3" s="1"/>
  <c r="CD86" i="3" s="1"/>
  <c r="CD85" i="3" s="1"/>
  <c r="CD84" i="3" s="1"/>
  <c r="CD83" i="3" s="1"/>
  <c r="CD82" i="3" s="1"/>
  <c r="CD81" i="3" s="1"/>
  <c r="CD80" i="3" s="1"/>
  <c r="CD79" i="3" s="1"/>
  <c r="CD78" i="3" s="1"/>
  <c r="CD77" i="3" s="1"/>
  <c r="CD76" i="3" s="1"/>
  <c r="CD75" i="3" s="1"/>
  <c r="CD74" i="3" s="1"/>
  <c r="CU103" i="3"/>
  <c r="CU102" i="3" s="1"/>
  <c r="CU101" i="3" s="1"/>
  <c r="CU100" i="3" s="1"/>
  <c r="CU99" i="3" s="1"/>
  <c r="CU98" i="3" s="1"/>
  <c r="CU97" i="3" s="1"/>
  <c r="CU96" i="3" s="1"/>
  <c r="CU95" i="3" s="1"/>
  <c r="CU94" i="3" s="1"/>
  <c r="CU93" i="3" s="1"/>
  <c r="CU92" i="3" s="1"/>
  <c r="CU91" i="3" s="1"/>
  <c r="CU90" i="3" s="1"/>
  <c r="CU89" i="3" s="1"/>
  <c r="CU88" i="3" s="1"/>
  <c r="CU87" i="3" s="1"/>
  <c r="CU86" i="3" s="1"/>
  <c r="CU85" i="3" s="1"/>
  <c r="CU84" i="3" s="1"/>
  <c r="CU83" i="3" s="1"/>
  <c r="CU82" i="3" s="1"/>
  <c r="CU81" i="3" s="1"/>
  <c r="CU80" i="3" s="1"/>
  <c r="CU79" i="3" s="1"/>
  <c r="CU78" i="3" s="1"/>
  <c r="CU77" i="3" s="1"/>
  <c r="CU76" i="3" s="1"/>
  <c r="CU75" i="3" s="1"/>
  <c r="CU74" i="3" s="1"/>
  <c r="CE103" i="3"/>
  <c r="CE102" i="3" s="1"/>
  <c r="CE101" i="3" s="1"/>
  <c r="CE100" i="3" s="1"/>
  <c r="CE99" i="3" s="1"/>
  <c r="CE98" i="3" s="1"/>
  <c r="CE97" i="3" s="1"/>
  <c r="CE96" i="3" s="1"/>
  <c r="CE95" i="3" s="1"/>
  <c r="CE94" i="3" s="1"/>
  <c r="CE93" i="3" s="1"/>
  <c r="CE92" i="3" s="1"/>
  <c r="CE91" i="3" s="1"/>
  <c r="CE90" i="3" s="1"/>
  <c r="CE89" i="3" s="1"/>
  <c r="CE88" i="3" s="1"/>
  <c r="CE87" i="3" s="1"/>
  <c r="CE86" i="3" s="1"/>
  <c r="CE85" i="3" s="1"/>
  <c r="CE84" i="3" s="1"/>
  <c r="CE83" i="3" s="1"/>
  <c r="CE82" i="3" s="1"/>
  <c r="CE81" i="3" s="1"/>
  <c r="CE80" i="3" s="1"/>
  <c r="CE79" i="3" s="1"/>
  <c r="CE78" i="3" s="1"/>
  <c r="CE77" i="3" s="1"/>
  <c r="CE76" i="3" s="1"/>
  <c r="CE75" i="3" s="1"/>
  <c r="CE74" i="3" s="1"/>
  <c r="F30" i="3"/>
  <c r="F22" i="3"/>
  <c r="F14" i="3"/>
  <c r="F6" i="3"/>
  <c r="AH2" i="3"/>
  <c r="Z2" i="3"/>
  <c r="R2" i="3"/>
  <c r="J2" i="3"/>
  <c r="AL30" i="3"/>
  <c r="AL22" i="3"/>
  <c r="AL14" i="3"/>
  <c r="AG34" i="3"/>
  <c r="Y34" i="3"/>
  <c r="Q34" i="3"/>
  <c r="I34" i="3"/>
  <c r="BW62" i="3"/>
  <c r="BX62" i="3" s="1"/>
  <c r="BY62" i="3" s="1"/>
  <c r="BZ62" i="3" s="1"/>
  <c r="CA62" i="3" s="1"/>
  <c r="CB62" i="3" s="1"/>
  <c r="CC62" i="3" s="1"/>
  <c r="CD62" i="3" s="1"/>
  <c r="CE62" i="3" s="1"/>
  <c r="CF62" i="3" s="1"/>
  <c r="CG62" i="3" s="1"/>
  <c r="CH62" i="3" s="1"/>
  <c r="CI62" i="3" s="1"/>
  <c r="CJ62" i="3" s="1"/>
  <c r="CK62" i="3" s="1"/>
  <c r="CL62" i="3" s="1"/>
  <c r="CM62" i="3" s="1"/>
  <c r="CN62" i="3" s="1"/>
  <c r="CO62" i="3" s="1"/>
  <c r="CP62" i="3" s="1"/>
  <c r="CQ62" i="3" s="1"/>
  <c r="CR62" i="3" s="1"/>
  <c r="CS62" i="3" s="1"/>
  <c r="CT62" i="3" s="1"/>
  <c r="CU62" i="3" s="1"/>
  <c r="CV62" i="3" s="1"/>
  <c r="CW62" i="3" s="1"/>
  <c r="CX62" i="3" s="1"/>
  <c r="CY62" i="3" s="1"/>
  <c r="BW58" i="3"/>
  <c r="BW50" i="3"/>
  <c r="BX50" i="3" s="1"/>
  <c r="BY50" i="3" s="1"/>
  <c r="BZ50" i="3" s="1"/>
  <c r="CA50" i="3" s="1"/>
  <c r="CB50" i="3" s="1"/>
  <c r="CC50" i="3" s="1"/>
  <c r="CD50" i="3" s="1"/>
  <c r="CE50" i="3" s="1"/>
  <c r="CF50" i="3" s="1"/>
  <c r="CG50" i="3" s="1"/>
  <c r="CH50" i="3" s="1"/>
  <c r="CI50" i="3" s="1"/>
  <c r="CJ50" i="3" s="1"/>
  <c r="CK50" i="3" s="1"/>
  <c r="CL50" i="3" s="1"/>
  <c r="CM50" i="3" s="1"/>
  <c r="CN50" i="3" s="1"/>
  <c r="CO50" i="3" s="1"/>
  <c r="CP50" i="3" s="1"/>
  <c r="CQ50" i="3" s="1"/>
  <c r="CR50" i="3" s="1"/>
  <c r="DE58" i="3"/>
  <c r="DF58" i="3" s="1"/>
  <c r="DE50" i="3"/>
  <c r="DE54" i="3"/>
  <c r="DE47" i="3"/>
  <c r="DE63" i="3"/>
  <c r="CS67" i="3"/>
  <c r="CT67" i="3" s="1"/>
  <c r="CU67" i="3" s="1"/>
  <c r="CV67" i="3" s="1"/>
  <c r="CW67" i="3" s="1"/>
  <c r="CX67" i="3" s="1"/>
  <c r="CY67" i="3" s="1"/>
  <c r="CO46" i="3"/>
  <c r="CP46" i="3" s="1"/>
  <c r="CQ46" i="3" s="1"/>
  <c r="CR46" i="3" s="1"/>
  <c r="CS46" i="3" s="1"/>
  <c r="CT46" i="3" s="1"/>
  <c r="CU46" i="3" s="1"/>
  <c r="CV46" i="3" s="1"/>
  <c r="CS50" i="3"/>
  <c r="CT50" i="3" s="1"/>
  <c r="CU50" i="3" s="1"/>
  <c r="CV50" i="3" s="1"/>
  <c r="CW50" i="3" s="1"/>
  <c r="CX50" i="3" s="1"/>
  <c r="CY50" i="3" s="1"/>
  <c r="DF60" i="3" l="1"/>
  <c r="DG60" i="3" s="1"/>
  <c r="DH60" i="3" s="1"/>
  <c r="DF68" i="3"/>
  <c r="DG68" i="3" s="1"/>
  <c r="DH68" i="3" s="1"/>
  <c r="DI68" i="3" s="1"/>
  <c r="DJ68" i="3" s="1"/>
  <c r="DK68" i="3" s="1"/>
  <c r="DL68" i="3" s="1"/>
  <c r="DM68" i="3" s="1"/>
  <c r="DN68" i="3" s="1"/>
  <c r="DO68" i="3" s="1"/>
  <c r="DP68" i="3" s="1"/>
  <c r="DQ68" i="3" s="1"/>
  <c r="DR68" i="3" s="1"/>
  <c r="DS68" i="3" s="1"/>
  <c r="DT68" i="3" s="1"/>
  <c r="DU68" i="3" s="1"/>
  <c r="DV68" i="3" s="1"/>
  <c r="DW68" i="3" s="1"/>
  <c r="DX68" i="3" s="1"/>
  <c r="DY68" i="3" s="1"/>
  <c r="DZ68" i="3" s="1"/>
  <c r="EA68" i="3" s="1"/>
  <c r="EB68" i="3" s="1"/>
  <c r="EC68" i="3" s="1"/>
  <c r="ED68" i="3" s="1"/>
  <c r="DF39" i="3"/>
  <c r="DG39" i="3" s="1"/>
  <c r="DH39" i="3" s="1"/>
  <c r="DI39" i="3" s="1"/>
  <c r="DJ39" i="3" s="1"/>
  <c r="DK39" i="3" s="1"/>
  <c r="DL39" i="3" s="1"/>
  <c r="DM39" i="3" s="1"/>
  <c r="DN39" i="3" s="1"/>
  <c r="DO39" i="3" s="1"/>
  <c r="DP39" i="3" s="1"/>
  <c r="DQ39" i="3" s="1"/>
  <c r="DR39" i="3" s="1"/>
  <c r="DS39" i="3" s="1"/>
  <c r="DT39" i="3" s="1"/>
  <c r="DU39" i="3" s="1"/>
  <c r="DV39" i="3" s="1"/>
  <c r="DW39" i="3" s="1"/>
  <c r="DX39" i="3" s="1"/>
  <c r="DY39" i="3" s="1"/>
  <c r="DZ39" i="3" s="1"/>
  <c r="EA39" i="3" s="1"/>
  <c r="EB39" i="3" s="1"/>
  <c r="EC39" i="3" s="1"/>
  <c r="ED39" i="3" s="1"/>
  <c r="EE39" i="3" s="1"/>
  <c r="EF39" i="3" s="1"/>
  <c r="EG39" i="3" s="1"/>
  <c r="DE53" i="3"/>
  <c r="DF53" i="3" s="1"/>
  <c r="DG53" i="3" s="1"/>
  <c r="DH53" i="3" s="1"/>
  <c r="DI53" i="3" s="1"/>
  <c r="DJ53" i="3" s="1"/>
  <c r="DK53" i="3" s="1"/>
  <c r="DL53" i="3" s="1"/>
  <c r="DM53" i="3" s="1"/>
  <c r="DN53" i="3" s="1"/>
  <c r="DO53" i="3" s="1"/>
  <c r="DP53" i="3" s="1"/>
  <c r="DQ53" i="3" s="1"/>
  <c r="DR53" i="3" s="1"/>
  <c r="DS53" i="3" s="1"/>
  <c r="DT53" i="3" s="1"/>
  <c r="DU53" i="3" s="1"/>
  <c r="DV53" i="3" s="1"/>
  <c r="DW53" i="3" s="1"/>
  <c r="DX53" i="3" s="1"/>
  <c r="DY53" i="3" s="1"/>
  <c r="DZ53" i="3" s="1"/>
  <c r="EA53" i="3" s="1"/>
  <c r="EB53" i="3" s="1"/>
  <c r="EC53" i="3" s="1"/>
  <c r="ED53" i="3" s="1"/>
  <c r="EE53" i="3" s="1"/>
  <c r="EF53" i="3" s="1"/>
  <c r="EG53" i="3" s="1"/>
  <c r="EH53" i="3" s="1"/>
  <c r="CT103" i="3"/>
  <c r="CT102" i="3" s="1"/>
  <c r="CT101" i="3" s="1"/>
  <c r="CT100" i="3" s="1"/>
  <c r="CT99" i="3" s="1"/>
  <c r="CT98" i="3" s="1"/>
  <c r="CT97" i="3" s="1"/>
  <c r="CT96" i="3" s="1"/>
  <c r="CT95" i="3" s="1"/>
  <c r="CT94" i="3" s="1"/>
  <c r="CT93" i="3" s="1"/>
  <c r="CT92" i="3" s="1"/>
  <c r="CT91" i="3" s="1"/>
  <c r="CT90" i="3" s="1"/>
  <c r="CT89" i="3" s="1"/>
  <c r="CT88" i="3" s="1"/>
  <c r="CT87" i="3" s="1"/>
  <c r="CT86" i="3" s="1"/>
  <c r="CT85" i="3" s="1"/>
  <c r="CT84" i="3" s="1"/>
  <c r="CT83" i="3" s="1"/>
  <c r="CT82" i="3" s="1"/>
  <c r="CT81" i="3" s="1"/>
  <c r="CT80" i="3" s="1"/>
  <c r="CT79" i="3" s="1"/>
  <c r="CT78" i="3" s="1"/>
  <c r="CT77" i="3" s="1"/>
  <c r="CT76" i="3" s="1"/>
  <c r="CT75" i="3" s="1"/>
  <c r="CT74" i="3" s="1"/>
  <c r="CG103" i="3"/>
  <c r="CG102" i="3" s="1"/>
  <c r="CG101" i="3" s="1"/>
  <c r="CG100" i="3" s="1"/>
  <c r="CG99" i="3" s="1"/>
  <c r="CG98" i="3" s="1"/>
  <c r="CG97" i="3" s="1"/>
  <c r="CG96" i="3" s="1"/>
  <c r="CG95" i="3" s="1"/>
  <c r="CG94" i="3" s="1"/>
  <c r="CG93" i="3" s="1"/>
  <c r="CG92" i="3" s="1"/>
  <c r="CG91" i="3" s="1"/>
  <c r="CG90" i="3" s="1"/>
  <c r="CG89" i="3" s="1"/>
  <c r="CG88" i="3" s="1"/>
  <c r="CG87" i="3" s="1"/>
  <c r="CG86" i="3" s="1"/>
  <c r="CG85" i="3" s="1"/>
  <c r="CG84" i="3" s="1"/>
  <c r="CG83" i="3" s="1"/>
  <c r="CG82" i="3" s="1"/>
  <c r="CG81" i="3" s="1"/>
  <c r="CG80" i="3" s="1"/>
  <c r="CG79" i="3" s="1"/>
  <c r="CG78" i="3" s="1"/>
  <c r="CG77" i="3" s="1"/>
  <c r="CG76" i="3" s="1"/>
  <c r="CG75" i="3" s="1"/>
  <c r="CG74" i="3" s="1"/>
  <c r="BW60" i="3"/>
  <c r="BX60" i="3" s="1"/>
  <c r="BY60" i="3" s="1"/>
  <c r="BW39" i="3"/>
  <c r="BW41" i="3"/>
  <c r="BX41" i="3" s="1"/>
  <c r="BY41" i="3" s="1"/>
  <c r="BZ41" i="3" s="1"/>
  <c r="CA41" i="3" s="1"/>
  <c r="CB41" i="3" s="1"/>
  <c r="CC41" i="3" s="1"/>
  <c r="CD41" i="3" s="1"/>
  <c r="CE41" i="3" s="1"/>
  <c r="CF41" i="3" s="1"/>
  <c r="CG41" i="3" s="1"/>
  <c r="CH41" i="3" s="1"/>
  <c r="CI41" i="3" s="1"/>
  <c r="CJ41" i="3" s="1"/>
  <c r="CK41" i="3" s="1"/>
  <c r="CL41" i="3" s="1"/>
  <c r="CM41" i="3" s="1"/>
  <c r="CN41" i="3" s="1"/>
  <c r="CO41" i="3" s="1"/>
  <c r="CP41" i="3" s="1"/>
  <c r="CQ41" i="3" s="1"/>
  <c r="CR41" i="3" s="1"/>
  <c r="CS41" i="3" s="1"/>
  <c r="CT41" i="3" s="1"/>
  <c r="CU41" i="3" s="1"/>
  <c r="CV41" i="3" s="1"/>
  <c r="CW41" i="3" s="1"/>
  <c r="BX103" i="3"/>
  <c r="BX102" i="3" s="1"/>
  <c r="BX101" i="3" s="1"/>
  <c r="BX100" i="3" s="1"/>
  <c r="BX99" i="3" s="1"/>
  <c r="BX98" i="3" s="1"/>
  <c r="BX97" i="3" s="1"/>
  <c r="BX96" i="3" s="1"/>
  <c r="BX95" i="3" s="1"/>
  <c r="BX94" i="3" s="1"/>
  <c r="BX93" i="3" s="1"/>
  <c r="BX92" i="3" s="1"/>
  <c r="BX91" i="3" s="1"/>
  <c r="BX90" i="3" s="1"/>
  <c r="BX89" i="3" s="1"/>
  <c r="BX88" i="3" s="1"/>
  <c r="BX87" i="3" s="1"/>
  <c r="BX86" i="3" s="1"/>
  <c r="BX85" i="3" s="1"/>
  <c r="BX84" i="3" s="1"/>
  <c r="BX83" i="3" s="1"/>
  <c r="BX82" i="3" s="1"/>
  <c r="BX81" i="3" s="1"/>
  <c r="BX80" i="3" s="1"/>
  <c r="BX79" i="3" s="1"/>
  <c r="BX78" i="3" s="1"/>
  <c r="BX77" i="3" s="1"/>
  <c r="BX76" i="3" s="1"/>
  <c r="BX75" i="3" s="1"/>
  <c r="BX74" i="3" s="1"/>
  <c r="CA103" i="3"/>
  <c r="CA102" i="3" s="1"/>
  <c r="CA101" i="3" s="1"/>
  <c r="CA100" i="3" s="1"/>
  <c r="CA99" i="3" s="1"/>
  <c r="CA98" i="3" s="1"/>
  <c r="CA97" i="3" s="1"/>
  <c r="CA96" i="3" s="1"/>
  <c r="CA95" i="3" s="1"/>
  <c r="CA94" i="3" s="1"/>
  <c r="CA93" i="3" s="1"/>
  <c r="CA92" i="3" s="1"/>
  <c r="CA91" i="3" s="1"/>
  <c r="CA90" i="3" s="1"/>
  <c r="CA89" i="3" s="1"/>
  <c r="CA88" i="3" s="1"/>
  <c r="CA87" i="3" s="1"/>
  <c r="CA86" i="3" s="1"/>
  <c r="CA85" i="3" s="1"/>
  <c r="CA84" i="3" s="1"/>
  <c r="CA83" i="3" s="1"/>
  <c r="CA82" i="3" s="1"/>
  <c r="CA81" i="3" s="1"/>
  <c r="CA80" i="3" s="1"/>
  <c r="CA79" i="3" s="1"/>
  <c r="CA78" i="3" s="1"/>
  <c r="CA77" i="3" s="1"/>
  <c r="CA76" i="3" s="1"/>
  <c r="CA75" i="3" s="1"/>
  <c r="CA74" i="3" s="1"/>
  <c r="CF103" i="3"/>
  <c r="DE64" i="3"/>
  <c r="BW68" i="3"/>
  <c r="BX68" i="3" s="1"/>
  <c r="BY68" i="3" s="1"/>
  <c r="BZ68" i="3" s="1"/>
  <c r="CA68" i="3" s="1"/>
  <c r="CB68" i="3" s="1"/>
  <c r="CC68" i="3" s="1"/>
  <c r="CD68" i="3" s="1"/>
  <c r="CE68" i="3" s="1"/>
  <c r="CF68" i="3" s="1"/>
  <c r="CG68" i="3" s="1"/>
  <c r="CH68" i="3" s="1"/>
  <c r="CI68" i="3" s="1"/>
  <c r="CJ68" i="3" s="1"/>
  <c r="CK68" i="3" s="1"/>
  <c r="CL68" i="3" s="1"/>
  <c r="CM68" i="3" s="1"/>
  <c r="CN68" i="3" s="1"/>
  <c r="CO68" i="3" s="1"/>
  <c r="CP68" i="3" s="1"/>
  <c r="CQ68" i="3" s="1"/>
  <c r="CR68" i="3" s="1"/>
  <c r="CS68" i="3" s="1"/>
  <c r="CT68" i="3" s="1"/>
  <c r="CU68" i="3" s="1"/>
  <c r="CQ103" i="3"/>
  <c r="CQ102" i="3" s="1"/>
  <c r="CQ101" i="3" s="1"/>
  <c r="CQ100" i="3" s="1"/>
  <c r="CQ99" i="3" s="1"/>
  <c r="CQ98" i="3" s="1"/>
  <c r="CQ97" i="3" s="1"/>
  <c r="CQ96" i="3" s="1"/>
  <c r="CQ95" i="3" s="1"/>
  <c r="CQ94" i="3" s="1"/>
  <c r="CQ93" i="3" s="1"/>
  <c r="CQ92" i="3" s="1"/>
  <c r="CQ91" i="3" s="1"/>
  <c r="CQ90" i="3" s="1"/>
  <c r="CQ89" i="3" s="1"/>
  <c r="CQ88" i="3" s="1"/>
  <c r="CQ87" i="3" s="1"/>
  <c r="CQ86" i="3" s="1"/>
  <c r="CQ85" i="3" s="1"/>
  <c r="CQ84" i="3" s="1"/>
  <c r="CQ83" i="3" s="1"/>
  <c r="CQ82" i="3" s="1"/>
  <c r="CQ81" i="3" s="1"/>
  <c r="CQ80" i="3" s="1"/>
  <c r="CQ79" i="3" s="1"/>
  <c r="CQ78" i="3" s="1"/>
  <c r="CQ77" i="3" s="1"/>
  <c r="CQ76" i="3" s="1"/>
  <c r="CQ75" i="3" s="1"/>
  <c r="CQ74" i="3" s="1"/>
  <c r="DE41" i="3"/>
  <c r="CW103" i="3"/>
  <c r="CW102" i="3" s="1"/>
  <c r="CW101" i="3" s="1"/>
  <c r="CW100" i="3" s="1"/>
  <c r="CW99" i="3" s="1"/>
  <c r="CW98" i="3" s="1"/>
  <c r="CW97" i="3" s="1"/>
  <c r="CW96" i="3" s="1"/>
  <c r="CW95" i="3" s="1"/>
  <c r="CW94" i="3" s="1"/>
  <c r="CW93" i="3" s="1"/>
  <c r="CW92" i="3" s="1"/>
  <c r="CW91" i="3" s="1"/>
  <c r="CW90" i="3" s="1"/>
  <c r="CW89" i="3" s="1"/>
  <c r="CW88" i="3" s="1"/>
  <c r="CW87" i="3" s="1"/>
  <c r="CW86" i="3" s="1"/>
  <c r="CW85" i="3" s="1"/>
  <c r="CW84" i="3" s="1"/>
  <c r="CW83" i="3" s="1"/>
  <c r="CW82" i="3" s="1"/>
  <c r="CW81" i="3" s="1"/>
  <c r="CW80" i="3" s="1"/>
  <c r="CW79" i="3" s="1"/>
  <c r="CW78" i="3" s="1"/>
  <c r="CW77" i="3" s="1"/>
  <c r="CW76" i="3" s="1"/>
  <c r="CW75" i="3" s="1"/>
  <c r="CW74" i="3" s="1"/>
  <c r="BW65" i="3"/>
  <c r="BX65" i="3" s="1"/>
  <c r="BY65" i="3" s="1"/>
  <c r="BZ65" i="3" s="1"/>
  <c r="CA65" i="3" s="1"/>
  <c r="CB65" i="3" s="1"/>
  <c r="CC65" i="3" s="1"/>
  <c r="CD65" i="3" s="1"/>
  <c r="CE65" i="3" s="1"/>
  <c r="CF65" i="3" s="1"/>
  <c r="CG65" i="3" s="1"/>
  <c r="CH65" i="3" s="1"/>
  <c r="CI65" i="3" s="1"/>
  <c r="CJ65" i="3" s="1"/>
  <c r="CK65" i="3" s="1"/>
  <c r="CL65" i="3" s="1"/>
  <c r="CM65" i="3" s="1"/>
  <c r="CN65" i="3" s="1"/>
  <c r="CO65" i="3" s="1"/>
  <c r="CP65" i="3" s="1"/>
  <c r="CQ65" i="3" s="1"/>
  <c r="CR65" i="3" s="1"/>
  <c r="CS65" i="3" s="1"/>
  <c r="CT65" i="3" s="1"/>
  <c r="CU65" i="3" s="1"/>
  <c r="CV65" i="3" s="1"/>
  <c r="CW65" i="3" s="1"/>
  <c r="CX65" i="3" s="1"/>
  <c r="CY65" i="3" s="1"/>
  <c r="BW40" i="3"/>
  <c r="BX40" i="3" s="1"/>
  <c r="BY40" i="3" s="1"/>
  <c r="BZ40" i="3" s="1"/>
  <c r="CA40" i="3" s="1"/>
  <c r="CB40" i="3" s="1"/>
  <c r="CC40" i="3" s="1"/>
  <c r="CD40" i="3" s="1"/>
  <c r="CE40" i="3" s="1"/>
  <c r="CF40" i="3" s="1"/>
  <c r="CG40" i="3" s="1"/>
  <c r="CH40" i="3" s="1"/>
  <c r="CI40" i="3" s="1"/>
  <c r="CJ40" i="3" s="1"/>
  <c r="CK40" i="3" s="1"/>
  <c r="CL40" i="3" s="1"/>
  <c r="CM40" i="3" s="1"/>
  <c r="CN40" i="3" s="1"/>
  <c r="CO40" i="3" s="1"/>
  <c r="CP40" i="3" s="1"/>
  <c r="CQ40" i="3" s="1"/>
  <c r="CR40" i="3" s="1"/>
  <c r="CS40" i="3" s="1"/>
  <c r="CT40" i="3" s="1"/>
  <c r="CU40" i="3" s="1"/>
  <c r="CV40" i="3" s="1"/>
  <c r="CW40" i="3" s="1"/>
  <c r="CX40" i="3" s="1"/>
  <c r="CY40" i="3" s="1"/>
  <c r="DE61" i="3"/>
  <c r="DF61" i="3" s="1"/>
  <c r="DG61" i="3" s="1"/>
  <c r="DH61" i="3" s="1"/>
  <c r="DI61" i="3" s="1"/>
  <c r="DJ61" i="3" s="1"/>
  <c r="DK61" i="3" s="1"/>
  <c r="DL61" i="3" s="1"/>
  <c r="DM61" i="3" s="1"/>
  <c r="DN61" i="3" s="1"/>
  <c r="DO61" i="3" s="1"/>
  <c r="DP61" i="3" s="1"/>
  <c r="DQ61" i="3" s="1"/>
  <c r="DR61" i="3" s="1"/>
  <c r="DS61" i="3" s="1"/>
  <c r="DT61" i="3" s="1"/>
  <c r="DU61" i="3" s="1"/>
  <c r="DV61" i="3" s="1"/>
  <c r="DW61" i="3" s="1"/>
  <c r="DX61" i="3" s="1"/>
  <c r="DY61" i="3" s="1"/>
  <c r="DZ61" i="3" s="1"/>
  <c r="EA61" i="3" s="1"/>
  <c r="EB61" i="3" s="1"/>
  <c r="EC61" i="3" s="1"/>
  <c r="ED61" i="3" s="1"/>
  <c r="EE61" i="3" s="1"/>
  <c r="EF61" i="3" s="1"/>
  <c r="EG61" i="3" s="1"/>
  <c r="CN103" i="3"/>
  <c r="CN102" i="3" s="1"/>
  <c r="CN101" i="3" s="1"/>
  <c r="CN100" i="3" s="1"/>
  <c r="CN99" i="3" s="1"/>
  <c r="CN98" i="3" s="1"/>
  <c r="CN97" i="3" s="1"/>
  <c r="CN96" i="3" s="1"/>
  <c r="CN95" i="3" s="1"/>
  <c r="CN94" i="3" s="1"/>
  <c r="CN93" i="3" s="1"/>
  <c r="CN92" i="3" s="1"/>
  <c r="CN91" i="3" s="1"/>
  <c r="CN90" i="3" s="1"/>
  <c r="CN89" i="3" s="1"/>
  <c r="CN88" i="3" s="1"/>
  <c r="CN87" i="3" s="1"/>
  <c r="CN86" i="3" s="1"/>
  <c r="CN85" i="3" s="1"/>
  <c r="CN84" i="3" s="1"/>
  <c r="CN83" i="3" s="1"/>
  <c r="CN82" i="3" s="1"/>
  <c r="CN81" i="3" s="1"/>
  <c r="CN80" i="3" s="1"/>
  <c r="CN79" i="3" s="1"/>
  <c r="CN78" i="3" s="1"/>
  <c r="CN77" i="3" s="1"/>
  <c r="CN76" i="3" s="1"/>
  <c r="CN75" i="3" s="1"/>
  <c r="CN74" i="3" s="1"/>
  <c r="BW66" i="3"/>
  <c r="BX66" i="3" s="1"/>
  <c r="BY66" i="3" s="1"/>
  <c r="BZ66" i="3" s="1"/>
  <c r="CA66" i="3" s="1"/>
  <c r="CB66" i="3" s="1"/>
  <c r="CC66" i="3" s="1"/>
  <c r="CD66" i="3" s="1"/>
  <c r="CE66" i="3" s="1"/>
  <c r="CF66" i="3" s="1"/>
  <c r="CG66" i="3" s="1"/>
  <c r="CH66" i="3" s="1"/>
  <c r="CI66" i="3" s="1"/>
  <c r="CJ66" i="3" s="1"/>
  <c r="CK66" i="3" s="1"/>
  <c r="CL66" i="3" s="1"/>
  <c r="CM66" i="3" s="1"/>
  <c r="CN66" i="3" s="1"/>
  <c r="CO66" i="3" s="1"/>
  <c r="CP66" i="3" s="1"/>
  <c r="CQ66" i="3" s="1"/>
  <c r="CR66" i="3" s="1"/>
  <c r="CS66" i="3" s="1"/>
  <c r="CT66" i="3" s="1"/>
  <c r="CU66" i="3" s="1"/>
  <c r="CV66" i="3" s="1"/>
  <c r="CW66" i="3" s="1"/>
  <c r="BX39" i="3"/>
  <c r="BY39" i="3" s="1"/>
  <c r="BZ39" i="3" s="1"/>
  <c r="CA39" i="3" s="1"/>
  <c r="CB39" i="3" s="1"/>
  <c r="CC39" i="3" s="1"/>
  <c r="CD39" i="3" s="1"/>
  <c r="CE39" i="3" s="1"/>
  <c r="CF39" i="3" s="1"/>
  <c r="CG39" i="3" s="1"/>
  <c r="CH39" i="3" s="1"/>
  <c r="CI39" i="3" s="1"/>
  <c r="CJ39" i="3" s="1"/>
  <c r="CK39" i="3" s="1"/>
  <c r="CL39" i="3" s="1"/>
  <c r="CM39" i="3" s="1"/>
  <c r="CN39" i="3" s="1"/>
  <c r="CO39" i="3" s="1"/>
  <c r="CP39" i="3" s="1"/>
  <c r="CQ39" i="3" s="1"/>
  <c r="CR39" i="3" s="1"/>
  <c r="CS39" i="3" s="1"/>
  <c r="CT39" i="3" s="1"/>
  <c r="CU39" i="3" s="1"/>
  <c r="CV39" i="3" s="1"/>
  <c r="CW39" i="3" s="1"/>
  <c r="CX39" i="3" s="1"/>
  <c r="DF50" i="3"/>
  <c r="DG50" i="3" s="1"/>
  <c r="DH50" i="3" s="1"/>
  <c r="DI50" i="3" s="1"/>
  <c r="DJ50" i="3" s="1"/>
  <c r="DK50" i="3" s="1"/>
  <c r="DL50" i="3" s="1"/>
  <c r="DM50" i="3" s="1"/>
  <c r="DN50" i="3" s="1"/>
  <c r="DO50" i="3" s="1"/>
  <c r="DP50" i="3" s="1"/>
  <c r="DQ50" i="3" s="1"/>
  <c r="DR50" i="3" s="1"/>
  <c r="DS50" i="3" s="1"/>
  <c r="DT50" i="3" s="1"/>
  <c r="DU50" i="3" s="1"/>
  <c r="DV50" i="3" s="1"/>
  <c r="DW50" i="3" s="1"/>
  <c r="DX50" i="3" s="1"/>
  <c r="DY50" i="3" s="1"/>
  <c r="DZ50" i="3" s="1"/>
  <c r="EA50" i="3" s="1"/>
  <c r="EB50" i="3" s="1"/>
  <c r="EC50" i="3" s="1"/>
  <c r="ED50" i="3" s="1"/>
  <c r="EE50" i="3" s="1"/>
  <c r="EF50" i="3" s="1"/>
  <c r="EG50" i="3" s="1"/>
  <c r="EH50" i="3" s="1"/>
  <c r="DF47" i="3"/>
  <c r="DD103" i="3"/>
  <c r="DD102" i="3" s="1"/>
  <c r="DD101" i="3" s="1"/>
  <c r="DD100" i="3" s="1"/>
  <c r="DD99" i="3" s="1"/>
  <c r="DD98" i="3" s="1"/>
  <c r="DD97" i="3" s="1"/>
  <c r="DD96" i="3" s="1"/>
  <c r="DD95" i="3" s="1"/>
  <c r="DD94" i="3" s="1"/>
  <c r="DD93" i="3" s="1"/>
  <c r="DD92" i="3" s="1"/>
  <c r="DD91" i="3" s="1"/>
  <c r="DD90" i="3" s="1"/>
  <c r="DD89" i="3" s="1"/>
  <c r="DD88" i="3" s="1"/>
  <c r="DD87" i="3" s="1"/>
  <c r="DD86" i="3" s="1"/>
  <c r="DD85" i="3" s="1"/>
  <c r="DD84" i="3" s="1"/>
  <c r="DD83" i="3" s="1"/>
  <c r="DD82" i="3" s="1"/>
  <c r="DD81" i="3" s="1"/>
  <c r="DD80" i="3" s="1"/>
  <c r="DD79" i="3" s="1"/>
  <c r="DD78" i="3" s="1"/>
  <c r="DD77" i="3" s="1"/>
  <c r="DD76" i="3" s="1"/>
  <c r="DD75" i="3" s="1"/>
  <c r="DD74" i="3" s="1"/>
  <c r="EH103" i="3"/>
  <c r="DE66" i="3"/>
  <c r="DE46" i="3"/>
  <c r="DF46" i="3" s="1"/>
  <c r="DG46" i="3" s="1"/>
  <c r="DH46" i="3" s="1"/>
  <c r="DI46" i="3" s="1"/>
  <c r="DJ46" i="3" s="1"/>
  <c r="DK46" i="3" s="1"/>
  <c r="DL46" i="3" s="1"/>
  <c r="DM46" i="3" s="1"/>
  <c r="DN46" i="3" s="1"/>
  <c r="DO46" i="3" s="1"/>
  <c r="DP46" i="3" s="1"/>
  <c r="DQ46" i="3" s="1"/>
  <c r="DR46" i="3" s="1"/>
  <c r="DS46" i="3" s="1"/>
  <c r="DT46" i="3" s="1"/>
  <c r="DU46" i="3" s="1"/>
  <c r="DV46" i="3" s="1"/>
  <c r="DW46" i="3" s="1"/>
  <c r="DX46" i="3" s="1"/>
  <c r="DY46" i="3" s="1"/>
  <c r="DZ46" i="3" s="1"/>
  <c r="EA46" i="3" s="1"/>
  <c r="EB46" i="3" s="1"/>
  <c r="EC46" i="3" s="1"/>
  <c r="ED46" i="3" s="1"/>
  <c r="EE46" i="3" s="1"/>
  <c r="DE42" i="3"/>
  <c r="DF42" i="3" s="1"/>
  <c r="DG42" i="3" s="1"/>
  <c r="DH42" i="3" s="1"/>
  <c r="DI42" i="3" s="1"/>
  <c r="DJ42" i="3" s="1"/>
  <c r="DK42" i="3" s="1"/>
  <c r="DL42" i="3" s="1"/>
  <c r="DM42" i="3" s="1"/>
  <c r="DN42" i="3" s="1"/>
  <c r="DO42" i="3" s="1"/>
  <c r="DP42" i="3" s="1"/>
  <c r="DQ42" i="3" s="1"/>
  <c r="DR42" i="3" s="1"/>
  <c r="CC103" i="3"/>
  <c r="CC102" i="3" s="1"/>
  <c r="CC101" i="3" s="1"/>
  <c r="CC100" i="3" s="1"/>
  <c r="CC99" i="3" s="1"/>
  <c r="CC98" i="3" s="1"/>
  <c r="CC97" i="3" s="1"/>
  <c r="CC96" i="3" s="1"/>
  <c r="CC95" i="3" s="1"/>
  <c r="CC94" i="3" s="1"/>
  <c r="CC93" i="3" s="1"/>
  <c r="CC92" i="3" s="1"/>
  <c r="CC91" i="3" s="1"/>
  <c r="CC90" i="3" s="1"/>
  <c r="CC89" i="3" s="1"/>
  <c r="CC88" i="3" s="1"/>
  <c r="CC87" i="3" s="1"/>
  <c r="CC86" i="3" s="1"/>
  <c r="CC85" i="3" s="1"/>
  <c r="CC84" i="3" s="1"/>
  <c r="CC83" i="3" s="1"/>
  <c r="CC82" i="3" s="1"/>
  <c r="CC81" i="3" s="1"/>
  <c r="CC80" i="3" s="1"/>
  <c r="CC79" i="3" s="1"/>
  <c r="CC78" i="3" s="1"/>
  <c r="CC77" i="3" s="1"/>
  <c r="CC76" i="3" s="1"/>
  <c r="CC75" i="3" s="1"/>
  <c r="CC74" i="3" s="1"/>
  <c r="DE49" i="3"/>
  <c r="DF49" i="3" s="1"/>
  <c r="DG49" i="3" s="1"/>
  <c r="DH49" i="3" s="1"/>
  <c r="DI49" i="3" s="1"/>
  <c r="DJ49" i="3" s="1"/>
  <c r="DK49" i="3" s="1"/>
  <c r="DL49" i="3" s="1"/>
  <c r="DM49" i="3" s="1"/>
  <c r="DN49" i="3" s="1"/>
  <c r="DO49" i="3" s="1"/>
  <c r="DP49" i="3" s="1"/>
  <c r="DQ49" i="3" s="1"/>
  <c r="DR49" i="3" s="1"/>
  <c r="DS49" i="3" s="1"/>
  <c r="DT49" i="3" s="1"/>
  <c r="DU49" i="3" s="1"/>
  <c r="DV49" i="3" s="1"/>
  <c r="DW49" i="3" s="1"/>
  <c r="DX49" i="3" s="1"/>
  <c r="DY49" i="3" s="1"/>
  <c r="DZ49" i="3" s="1"/>
  <c r="EA49" i="3" s="1"/>
  <c r="EB49" i="3" s="1"/>
  <c r="EC49" i="3" s="1"/>
  <c r="ED49" i="3" s="1"/>
  <c r="EE49" i="3" s="1"/>
  <c r="EF49" i="3" s="1"/>
  <c r="BW51" i="3"/>
  <c r="BX51" i="3" s="1"/>
  <c r="BY51" i="3" s="1"/>
  <c r="BZ51" i="3" s="1"/>
  <c r="CA51" i="3" s="1"/>
  <c r="CB51" i="3" s="1"/>
  <c r="CC51" i="3" s="1"/>
  <c r="CD51" i="3" s="1"/>
  <c r="CE51" i="3" s="1"/>
  <c r="CF51" i="3" s="1"/>
  <c r="CG51" i="3" s="1"/>
  <c r="CH51" i="3" s="1"/>
  <c r="CI51" i="3" s="1"/>
  <c r="CJ51" i="3" s="1"/>
  <c r="CK51" i="3" s="1"/>
  <c r="CL51" i="3" s="1"/>
  <c r="CM51" i="3" s="1"/>
  <c r="CN51" i="3" s="1"/>
  <c r="CO51" i="3" s="1"/>
  <c r="CP51" i="3" s="1"/>
  <c r="CQ51" i="3" s="1"/>
  <c r="CR51" i="3" s="1"/>
  <c r="CS51" i="3" s="1"/>
  <c r="CT51" i="3" s="1"/>
  <c r="CU51" i="3" s="1"/>
  <c r="CJ103" i="3"/>
  <c r="CJ102" i="3" s="1"/>
  <c r="CJ101" i="3" s="1"/>
  <c r="CJ100" i="3" s="1"/>
  <c r="CJ99" i="3" s="1"/>
  <c r="CJ98" i="3" s="1"/>
  <c r="CJ97" i="3" s="1"/>
  <c r="CJ96" i="3" s="1"/>
  <c r="CJ95" i="3" s="1"/>
  <c r="CJ94" i="3" s="1"/>
  <c r="CJ93" i="3" s="1"/>
  <c r="CJ92" i="3" s="1"/>
  <c r="CJ91" i="3" s="1"/>
  <c r="CJ90" i="3" s="1"/>
  <c r="CJ89" i="3" s="1"/>
  <c r="CJ88" i="3" s="1"/>
  <c r="CJ87" i="3" s="1"/>
  <c r="CJ86" i="3" s="1"/>
  <c r="CJ85" i="3" s="1"/>
  <c r="CJ84" i="3" s="1"/>
  <c r="CJ83" i="3" s="1"/>
  <c r="CJ82" i="3" s="1"/>
  <c r="CJ81" i="3" s="1"/>
  <c r="CJ80" i="3" s="1"/>
  <c r="CJ79" i="3" s="1"/>
  <c r="CJ78" i="3" s="1"/>
  <c r="CJ77" i="3" s="1"/>
  <c r="CJ76" i="3" s="1"/>
  <c r="CJ75" i="3" s="1"/>
  <c r="CJ74" i="3" s="1"/>
  <c r="DE56" i="3"/>
  <c r="DF56" i="3" s="1"/>
  <c r="DG56" i="3" s="1"/>
  <c r="DH56" i="3" s="1"/>
  <c r="DI56" i="3" s="1"/>
  <c r="DJ56" i="3" s="1"/>
  <c r="DK56" i="3" s="1"/>
  <c r="DL56" i="3" s="1"/>
  <c r="DM56" i="3" s="1"/>
  <c r="DN56" i="3" s="1"/>
  <c r="DO56" i="3" s="1"/>
  <c r="DP56" i="3" s="1"/>
  <c r="DQ56" i="3" s="1"/>
  <c r="DR56" i="3" s="1"/>
  <c r="DS56" i="3" s="1"/>
  <c r="DT56" i="3" s="1"/>
  <c r="DU56" i="3" s="1"/>
  <c r="DV56" i="3" s="1"/>
  <c r="DW56" i="3" s="1"/>
  <c r="DX56" i="3" s="1"/>
  <c r="DY56" i="3" s="1"/>
  <c r="DZ56" i="3" s="1"/>
  <c r="EA56" i="3" s="1"/>
  <c r="EB56" i="3" s="1"/>
  <c r="EC56" i="3" s="1"/>
  <c r="ED56" i="3" s="1"/>
  <c r="EE56" i="3" s="1"/>
  <c r="EF56" i="3" s="1"/>
  <c r="EG56" i="3" s="1"/>
  <c r="EH56" i="3" s="1"/>
  <c r="BW47" i="3"/>
  <c r="BX47" i="3" s="1"/>
  <c r="BY47" i="3" s="1"/>
  <c r="BZ47" i="3" s="1"/>
  <c r="CA47" i="3" s="1"/>
  <c r="CB47" i="3" s="1"/>
  <c r="CC47" i="3" s="1"/>
  <c r="CD47" i="3" s="1"/>
  <c r="CE47" i="3" s="1"/>
  <c r="CF47" i="3" s="1"/>
  <c r="CG47" i="3" s="1"/>
  <c r="CH47" i="3" s="1"/>
  <c r="CI47" i="3" s="1"/>
  <c r="CJ47" i="3" s="1"/>
  <c r="CK47" i="3" s="1"/>
  <c r="CL47" i="3" s="1"/>
  <c r="CM47" i="3" s="1"/>
  <c r="CN47" i="3" s="1"/>
  <c r="CO47" i="3" s="1"/>
  <c r="CP47" i="3" s="1"/>
  <c r="CQ47" i="3" s="1"/>
  <c r="CR47" i="3" s="1"/>
  <c r="CS47" i="3" s="1"/>
  <c r="CT47" i="3" s="1"/>
  <c r="CU47" i="3" s="1"/>
  <c r="CV47" i="3" s="1"/>
  <c r="CW47" i="3" s="1"/>
  <c r="CX47" i="3" s="1"/>
  <c r="CY47" i="3" s="1"/>
  <c r="BW55" i="3"/>
  <c r="BX55" i="3" s="1"/>
  <c r="BY55" i="3" s="1"/>
  <c r="BZ55" i="3" s="1"/>
  <c r="CA55" i="3" s="1"/>
  <c r="CB55" i="3" s="1"/>
  <c r="CC55" i="3" s="1"/>
  <c r="CD55" i="3" s="1"/>
  <c r="CE55" i="3" s="1"/>
  <c r="CF55" i="3" s="1"/>
  <c r="CG55" i="3" s="1"/>
  <c r="CH55" i="3" s="1"/>
  <c r="CI55" i="3" s="1"/>
  <c r="CJ55" i="3" s="1"/>
  <c r="CK55" i="3" s="1"/>
  <c r="CL55" i="3" s="1"/>
  <c r="CM55" i="3" s="1"/>
  <c r="CN55" i="3" s="1"/>
  <c r="CO55" i="3" s="1"/>
  <c r="CP55" i="3" s="1"/>
  <c r="CQ55" i="3" s="1"/>
  <c r="CR55" i="3" s="1"/>
  <c r="CS55" i="3" s="1"/>
  <c r="CT55" i="3" s="1"/>
  <c r="CU55" i="3" s="1"/>
  <c r="CV55" i="3" s="1"/>
  <c r="CW55" i="3" s="1"/>
  <c r="CX55" i="3" s="1"/>
  <c r="CY55" i="3" s="1"/>
  <c r="BZ103" i="3"/>
  <c r="BZ102" i="3" s="1"/>
  <c r="BZ101" i="3" s="1"/>
  <c r="BZ100" i="3" s="1"/>
  <c r="BZ99" i="3" s="1"/>
  <c r="BZ98" i="3" s="1"/>
  <c r="BZ97" i="3" s="1"/>
  <c r="BZ96" i="3" s="1"/>
  <c r="BZ95" i="3" s="1"/>
  <c r="BZ94" i="3" s="1"/>
  <c r="BZ93" i="3" s="1"/>
  <c r="BZ92" i="3" s="1"/>
  <c r="BZ91" i="3" s="1"/>
  <c r="BZ90" i="3" s="1"/>
  <c r="BZ89" i="3" s="1"/>
  <c r="BZ88" i="3" s="1"/>
  <c r="BZ87" i="3" s="1"/>
  <c r="BZ86" i="3" s="1"/>
  <c r="BZ85" i="3" s="1"/>
  <c r="BZ84" i="3" s="1"/>
  <c r="BZ83" i="3" s="1"/>
  <c r="BZ82" i="3" s="1"/>
  <c r="BZ81" i="3" s="1"/>
  <c r="BZ80" i="3" s="1"/>
  <c r="BZ79" i="3" s="1"/>
  <c r="BZ78" i="3" s="1"/>
  <c r="BZ77" i="3" s="1"/>
  <c r="BZ76" i="3" s="1"/>
  <c r="BZ75" i="3" s="1"/>
  <c r="BZ74" i="3" s="1"/>
  <c r="DE59" i="3"/>
  <c r="DF59" i="3" s="1"/>
  <c r="DG59" i="3" s="1"/>
  <c r="DH59" i="3" s="1"/>
  <c r="DI59" i="3" s="1"/>
  <c r="DJ59" i="3" s="1"/>
  <c r="DK59" i="3" s="1"/>
  <c r="DL59" i="3" s="1"/>
  <c r="DM59" i="3" s="1"/>
  <c r="DN59" i="3" s="1"/>
  <c r="DO59" i="3" s="1"/>
  <c r="DP59" i="3" s="1"/>
  <c r="DQ59" i="3" s="1"/>
  <c r="DR59" i="3" s="1"/>
  <c r="DS59" i="3" s="1"/>
  <c r="DT59" i="3" s="1"/>
  <c r="DU59" i="3" s="1"/>
  <c r="DV59" i="3" s="1"/>
  <c r="DW59" i="3" s="1"/>
  <c r="DX59" i="3" s="1"/>
  <c r="DY59" i="3" s="1"/>
  <c r="DZ59" i="3" s="1"/>
  <c r="EA59" i="3" s="1"/>
  <c r="EB59" i="3" s="1"/>
  <c r="EC59" i="3" s="1"/>
  <c r="ED59" i="3" s="1"/>
  <c r="EE59" i="3" s="1"/>
  <c r="EF59" i="3" s="1"/>
  <c r="EG59" i="3" s="1"/>
  <c r="EH59" i="3" s="1"/>
  <c r="CJ42" i="3"/>
  <c r="CK42" i="3" s="1"/>
  <c r="CL42" i="3" s="1"/>
  <c r="CM42" i="3" s="1"/>
  <c r="CN42" i="3" s="1"/>
  <c r="CO42" i="3" s="1"/>
  <c r="CP42" i="3" s="1"/>
  <c r="CQ42" i="3" s="1"/>
  <c r="CR42" i="3" s="1"/>
  <c r="CS42" i="3" s="1"/>
  <c r="CT42" i="3" s="1"/>
  <c r="CU42" i="3" s="1"/>
  <c r="CV42" i="3" s="1"/>
  <c r="CW42" i="3" s="1"/>
  <c r="CX42" i="3" s="1"/>
  <c r="CY42" i="3" s="1"/>
  <c r="CH103" i="3"/>
  <c r="CH102" i="3" s="1"/>
  <c r="CH101" i="3" s="1"/>
  <c r="CH100" i="3" s="1"/>
  <c r="CH99" i="3" s="1"/>
  <c r="CH98" i="3" s="1"/>
  <c r="CH97" i="3" s="1"/>
  <c r="CH96" i="3" s="1"/>
  <c r="CH95" i="3" s="1"/>
  <c r="CH94" i="3" s="1"/>
  <c r="CH93" i="3" s="1"/>
  <c r="CH92" i="3" s="1"/>
  <c r="CH91" i="3" s="1"/>
  <c r="CH90" i="3" s="1"/>
  <c r="CH89" i="3" s="1"/>
  <c r="CH88" i="3" s="1"/>
  <c r="CH87" i="3" s="1"/>
  <c r="CH86" i="3" s="1"/>
  <c r="CH85" i="3" s="1"/>
  <c r="CH84" i="3" s="1"/>
  <c r="CH83" i="3" s="1"/>
  <c r="CH82" i="3" s="1"/>
  <c r="CH81" i="3" s="1"/>
  <c r="CH80" i="3" s="1"/>
  <c r="CH79" i="3" s="1"/>
  <c r="CH78" i="3" s="1"/>
  <c r="CH77" i="3" s="1"/>
  <c r="CH76" i="3" s="1"/>
  <c r="CH75" i="3" s="1"/>
  <c r="CH74" i="3" s="1"/>
  <c r="BW59" i="3"/>
  <c r="BX59" i="3" s="1"/>
  <c r="BY59" i="3" s="1"/>
  <c r="BZ59" i="3" s="1"/>
  <c r="CA59" i="3" s="1"/>
  <c r="CB59" i="3" s="1"/>
  <c r="CC59" i="3" s="1"/>
  <c r="CD59" i="3" s="1"/>
  <c r="CE59" i="3" s="1"/>
  <c r="CF59" i="3" s="1"/>
  <c r="CG59" i="3" s="1"/>
  <c r="CH59" i="3" s="1"/>
  <c r="CI59" i="3" s="1"/>
  <c r="CJ59" i="3" s="1"/>
  <c r="CK59" i="3" s="1"/>
  <c r="CL59" i="3" s="1"/>
  <c r="CM59" i="3" s="1"/>
  <c r="CN59" i="3" s="1"/>
  <c r="CO59" i="3" s="1"/>
  <c r="CP59" i="3" s="1"/>
  <c r="CQ59" i="3" s="1"/>
  <c r="CR59" i="3" s="1"/>
  <c r="CS59" i="3" s="1"/>
  <c r="CT59" i="3" s="1"/>
  <c r="CU59" i="3" s="1"/>
  <c r="CV59" i="3" s="1"/>
  <c r="CW59" i="3" s="1"/>
  <c r="CX59" i="3" s="1"/>
  <c r="CV68" i="3"/>
  <c r="CW68" i="3" s="1"/>
  <c r="CX68" i="3" s="1"/>
  <c r="CY68" i="3" s="1"/>
  <c r="BW44" i="3"/>
  <c r="BX44" i="3" s="1"/>
  <c r="BY44" i="3" s="1"/>
  <c r="BZ44" i="3" s="1"/>
  <c r="CA44" i="3" s="1"/>
  <c r="CB44" i="3" s="1"/>
  <c r="CC44" i="3" s="1"/>
  <c r="CD44" i="3" s="1"/>
  <c r="CE44" i="3" s="1"/>
  <c r="CF44" i="3" s="1"/>
  <c r="CG44" i="3" s="1"/>
  <c r="CH44" i="3" s="1"/>
  <c r="CI44" i="3" s="1"/>
  <c r="CJ44" i="3" s="1"/>
  <c r="CK44" i="3" s="1"/>
  <c r="CL44" i="3" s="1"/>
  <c r="CM44" i="3" s="1"/>
  <c r="CN44" i="3" s="1"/>
  <c r="CO44" i="3" s="1"/>
  <c r="CP44" i="3" s="1"/>
  <c r="CQ44" i="3" s="1"/>
  <c r="CR44" i="3" s="1"/>
  <c r="CS44" i="3" s="1"/>
  <c r="CT44" i="3" s="1"/>
  <c r="CU44" i="3" s="1"/>
  <c r="CV44" i="3" s="1"/>
  <c r="CW44" i="3" s="1"/>
  <c r="CX44" i="3" s="1"/>
  <c r="CY44" i="3" s="1"/>
  <c r="CY53" i="3"/>
  <c r="DE43" i="3"/>
  <c r="DF43" i="3" s="1"/>
  <c r="DG43" i="3" s="1"/>
  <c r="DH43" i="3" s="1"/>
  <c r="DI43" i="3" s="1"/>
  <c r="DJ43" i="3" s="1"/>
  <c r="DK43" i="3" s="1"/>
  <c r="DL43" i="3" s="1"/>
  <c r="DM43" i="3" s="1"/>
  <c r="DN43" i="3" s="1"/>
  <c r="DE57" i="3"/>
  <c r="BX58" i="3"/>
  <c r="BY58" i="3" s="1"/>
  <c r="BZ58" i="3" s="1"/>
  <c r="CA58" i="3" s="1"/>
  <c r="CB58" i="3" s="1"/>
  <c r="CC58" i="3" s="1"/>
  <c r="CD58" i="3" s="1"/>
  <c r="CE58" i="3" s="1"/>
  <c r="CF58" i="3" s="1"/>
  <c r="CG58" i="3" s="1"/>
  <c r="CH58" i="3" s="1"/>
  <c r="CI58" i="3" s="1"/>
  <c r="CJ58" i="3" s="1"/>
  <c r="CK58" i="3" s="1"/>
  <c r="CL58" i="3" s="1"/>
  <c r="CM58" i="3" s="1"/>
  <c r="CN58" i="3" s="1"/>
  <c r="CO58" i="3" s="1"/>
  <c r="CP58" i="3" s="1"/>
  <c r="CQ58" i="3" s="1"/>
  <c r="CR58" i="3" s="1"/>
  <c r="CS58" i="3" s="1"/>
  <c r="CT58" i="3" s="1"/>
  <c r="CU58" i="3" s="1"/>
  <c r="CV58" i="3" s="1"/>
  <c r="CW58" i="3" s="1"/>
  <c r="CZ103" i="3"/>
  <c r="CZ102" i="3" s="1"/>
  <c r="CZ101" i="3" s="1"/>
  <c r="CZ100" i="3" s="1"/>
  <c r="CZ99" i="3" s="1"/>
  <c r="CZ98" i="3" s="1"/>
  <c r="CZ97" i="3" s="1"/>
  <c r="CZ96" i="3" s="1"/>
  <c r="CZ95" i="3" s="1"/>
  <c r="CZ94" i="3" s="1"/>
  <c r="CZ93" i="3" s="1"/>
  <c r="CZ92" i="3" s="1"/>
  <c r="CZ91" i="3" s="1"/>
  <c r="CZ90" i="3" s="1"/>
  <c r="CZ89" i="3" s="1"/>
  <c r="CZ88" i="3" s="1"/>
  <c r="CZ87" i="3" s="1"/>
  <c r="CZ86" i="3" s="1"/>
  <c r="CZ85" i="3" s="1"/>
  <c r="CZ84" i="3" s="1"/>
  <c r="CZ83" i="3" s="1"/>
  <c r="CZ82" i="3" s="1"/>
  <c r="CZ81" i="3" s="1"/>
  <c r="CZ80" i="3" s="1"/>
  <c r="CZ79" i="3" s="1"/>
  <c r="CZ78" i="3" s="1"/>
  <c r="CZ77" i="3" s="1"/>
  <c r="CZ76" i="3" s="1"/>
  <c r="CZ75" i="3" s="1"/>
  <c r="CZ74" i="3" s="1"/>
  <c r="DE62" i="3"/>
  <c r="DF62" i="3" s="1"/>
  <c r="DG62" i="3" s="1"/>
  <c r="DH62" i="3" s="1"/>
  <c r="DI62" i="3" s="1"/>
  <c r="DJ62" i="3" s="1"/>
  <c r="DK62" i="3" s="1"/>
  <c r="DL62" i="3" s="1"/>
  <c r="DM62" i="3" s="1"/>
  <c r="DN62" i="3" s="1"/>
  <c r="DO62" i="3" s="1"/>
  <c r="DP62" i="3" s="1"/>
  <c r="DQ62" i="3" s="1"/>
  <c r="DR62" i="3" s="1"/>
  <c r="DS62" i="3" s="1"/>
  <c r="DT62" i="3" s="1"/>
  <c r="DU62" i="3" s="1"/>
  <c r="DV62" i="3" s="1"/>
  <c r="DW62" i="3" s="1"/>
  <c r="DX62" i="3" s="1"/>
  <c r="DY62" i="3" s="1"/>
  <c r="DZ62" i="3" s="1"/>
  <c r="EA62" i="3" s="1"/>
  <c r="EB62" i="3" s="1"/>
  <c r="EC62" i="3" s="1"/>
  <c r="ED62" i="3" s="1"/>
  <c r="EE62" i="3" s="1"/>
  <c r="EF62" i="3" s="1"/>
  <c r="EG62" i="3" s="1"/>
  <c r="EH62" i="3" s="1"/>
  <c r="BW54" i="3"/>
  <c r="BX54" i="3" s="1"/>
  <c r="BY54" i="3" s="1"/>
  <c r="BZ54" i="3" s="1"/>
  <c r="CA54" i="3" s="1"/>
  <c r="CB54" i="3" s="1"/>
  <c r="CC54" i="3" s="1"/>
  <c r="CD54" i="3" s="1"/>
  <c r="CE54" i="3" s="1"/>
  <c r="CF54" i="3" s="1"/>
  <c r="CG54" i="3" s="1"/>
  <c r="CH54" i="3" s="1"/>
  <c r="CI54" i="3" s="1"/>
  <c r="CJ54" i="3" s="1"/>
  <c r="CK54" i="3" s="1"/>
  <c r="CL54" i="3" s="1"/>
  <c r="CM54" i="3" s="1"/>
  <c r="CN54" i="3" s="1"/>
  <c r="CO54" i="3" s="1"/>
  <c r="CP54" i="3" s="1"/>
  <c r="CQ54" i="3" s="1"/>
  <c r="CR54" i="3" s="1"/>
  <c r="CS54" i="3" s="1"/>
  <c r="CT54" i="3" s="1"/>
  <c r="CU54" i="3" s="1"/>
  <c r="CV54" i="3" s="1"/>
  <c r="CW54" i="3" s="1"/>
  <c r="CX54" i="3" s="1"/>
  <c r="CY54" i="3" s="1"/>
  <c r="DE69" i="3"/>
  <c r="DF69" i="3" s="1"/>
  <c r="DG69" i="3" s="1"/>
  <c r="DH69" i="3" s="1"/>
  <c r="DI69" i="3" s="1"/>
  <c r="DJ69" i="3" s="1"/>
  <c r="DK69" i="3" s="1"/>
  <c r="DL69" i="3" s="1"/>
  <c r="DM69" i="3" s="1"/>
  <c r="DN69" i="3" s="1"/>
  <c r="DO69" i="3" s="1"/>
  <c r="DP69" i="3" s="1"/>
  <c r="DQ69" i="3" s="1"/>
  <c r="DR69" i="3" s="1"/>
  <c r="DS69" i="3" s="1"/>
  <c r="DT69" i="3" s="1"/>
  <c r="DU69" i="3" s="1"/>
  <c r="DV69" i="3" s="1"/>
  <c r="DW69" i="3" s="1"/>
  <c r="DX69" i="3" s="1"/>
  <c r="DY69" i="3" s="1"/>
  <c r="DZ69" i="3" s="1"/>
  <c r="EA69" i="3" s="1"/>
  <c r="EB69" i="3" s="1"/>
  <c r="EC69" i="3" s="1"/>
  <c r="ED69" i="3" s="1"/>
  <c r="EE69" i="3" s="1"/>
  <c r="EF69" i="3" s="1"/>
  <c r="EG69" i="3" s="1"/>
  <c r="AJ69" i="3" s="1"/>
  <c r="BQ104" i="3" s="1"/>
  <c r="DE52" i="3"/>
  <c r="DF52" i="3" s="1"/>
  <c r="DG52" i="3" s="1"/>
  <c r="DH52" i="3" s="1"/>
  <c r="DI52" i="3" s="1"/>
  <c r="DJ52" i="3" s="1"/>
  <c r="DK52" i="3" s="1"/>
  <c r="DL52" i="3" s="1"/>
  <c r="DM52" i="3" s="1"/>
  <c r="DN52" i="3" s="1"/>
  <c r="DO52" i="3" s="1"/>
  <c r="DP52" i="3" s="1"/>
  <c r="DQ52" i="3" s="1"/>
  <c r="DR52" i="3" s="1"/>
  <c r="DS52" i="3" s="1"/>
  <c r="DT52" i="3" s="1"/>
  <c r="DU52" i="3" s="1"/>
  <c r="DV52" i="3" s="1"/>
  <c r="DW52" i="3" s="1"/>
  <c r="DX52" i="3" s="1"/>
  <c r="DY52" i="3" s="1"/>
  <c r="DZ52" i="3" s="1"/>
  <c r="EA52" i="3" s="1"/>
  <c r="EB52" i="3" s="1"/>
  <c r="EC52" i="3" s="1"/>
  <c r="ED52" i="3" s="1"/>
  <c r="EE52" i="3" s="1"/>
  <c r="EF52" i="3" s="1"/>
  <c r="EG52" i="3" s="1"/>
  <c r="EH52" i="3" s="1"/>
  <c r="CP103" i="3"/>
  <c r="CP102" i="3" s="1"/>
  <c r="CP101" i="3" s="1"/>
  <c r="CP100" i="3" s="1"/>
  <c r="CP99" i="3" s="1"/>
  <c r="CP98" i="3" s="1"/>
  <c r="CP97" i="3" s="1"/>
  <c r="CP96" i="3" s="1"/>
  <c r="CP95" i="3" s="1"/>
  <c r="CP94" i="3" s="1"/>
  <c r="CP93" i="3" s="1"/>
  <c r="CP92" i="3" s="1"/>
  <c r="CP91" i="3" s="1"/>
  <c r="CP90" i="3" s="1"/>
  <c r="CP89" i="3" s="1"/>
  <c r="CP88" i="3" s="1"/>
  <c r="CP87" i="3" s="1"/>
  <c r="CP86" i="3" s="1"/>
  <c r="CP85" i="3" s="1"/>
  <c r="CP84" i="3" s="1"/>
  <c r="CP83" i="3" s="1"/>
  <c r="CP82" i="3" s="1"/>
  <c r="CP81" i="3" s="1"/>
  <c r="CP80" i="3" s="1"/>
  <c r="CP79" i="3" s="1"/>
  <c r="CP78" i="3" s="1"/>
  <c r="CP77" i="3" s="1"/>
  <c r="CP76" i="3" s="1"/>
  <c r="CP75" i="3" s="1"/>
  <c r="CP74" i="3" s="1"/>
  <c r="DE67" i="3"/>
  <c r="DF67" i="3" s="1"/>
  <c r="DG67" i="3" s="1"/>
  <c r="DH67" i="3" s="1"/>
  <c r="DI67" i="3" s="1"/>
  <c r="DJ67" i="3" s="1"/>
  <c r="DK67" i="3" s="1"/>
  <c r="DL67" i="3" s="1"/>
  <c r="DM67" i="3" s="1"/>
  <c r="DN67" i="3" s="1"/>
  <c r="DO67" i="3" s="1"/>
  <c r="DP67" i="3" s="1"/>
  <c r="DQ67" i="3" s="1"/>
  <c r="DR67" i="3" s="1"/>
  <c r="DS67" i="3" s="1"/>
  <c r="DT67" i="3" s="1"/>
  <c r="DU67" i="3" s="1"/>
  <c r="DV67" i="3" s="1"/>
  <c r="DW67" i="3" s="1"/>
  <c r="DX67" i="3" s="1"/>
  <c r="DY67" i="3" s="1"/>
  <c r="DZ67" i="3" s="1"/>
  <c r="EA67" i="3" s="1"/>
  <c r="EB67" i="3" s="1"/>
  <c r="EC67" i="3" s="1"/>
  <c r="ED67" i="3" s="1"/>
  <c r="EE67" i="3" s="1"/>
  <c r="EF67" i="3" s="1"/>
  <c r="EG67" i="3" s="1"/>
  <c r="EH67" i="3" s="1"/>
  <c r="BW49" i="3"/>
  <c r="BX49" i="3" s="1"/>
  <c r="BY49" i="3" s="1"/>
  <c r="BZ49" i="3" s="1"/>
  <c r="CA49" i="3" s="1"/>
  <c r="CB49" i="3" s="1"/>
  <c r="CC49" i="3" s="1"/>
  <c r="CD49" i="3" s="1"/>
  <c r="CE49" i="3" s="1"/>
  <c r="CF49" i="3" s="1"/>
  <c r="CG49" i="3" s="1"/>
  <c r="CH49" i="3" s="1"/>
  <c r="CI49" i="3" s="1"/>
  <c r="CJ49" i="3" s="1"/>
  <c r="CK49" i="3" s="1"/>
  <c r="CL49" i="3" s="1"/>
  <c r="CM49" i="3" s="1"/>
  <c r="CN49" i="3" s="1"/>
  <c r="CO49" i="3" s="1"/>
  <c r="CP49" i="3" s="1"/>
  <c r="CQ49" i="3" s="1"/>
  <c r="CR49" i="3" s="1"/>
  <c r="CS49" i="3" s="1"/>
  <c r="CT49" i="3" s="1"/>
  <c r="CU49" i="3" s="1"/>
  <c r="CV49" i="3" s="1"/>
  <c r="CW49" i="3" s="1"/>
  <c r="CX49" i="3" s="1"/>
  <c r="CY49" i="3" s="1"/>
  <c r="BW64" i="3"/>
  <c r="BX64" i="3" s="1"/>
  <c r="BY64" i="3" s="1"/>
  <c r="BZ64" i="3" s="1"/>
  <c r="CA64" i="3" s="1"/>
  <c r="CB64" i="3" s="1"/>
  <c r="CC64" i="3" s="1"/>
  <c r="CD64" i="3" s="1"/>
  <c r="CE64" i="3" s="1"/>
  <c r="CF64" i="3" s="1"/>
  <c r="CG64" i="3" s="1"/>
  <c r="CH64" i="3" s="1"/>
  <c r="CI64" i="3" s="1"/>
  <c r="CX103" i="3"/>
  <c r="CX102" i="3" s="1"/>
  <c r="CX101" i="3" s="1"/>
  <c r="CX100" i="3" s="1"/>
  <c r="CX99" i="3" s="1"/>
  <c r="CX98" i="3" s="1"/>
  <c r="CX97" i="3" s="1"/>
  <c r="CX96" i="3" s="1"/>
  <c r="CX95" i="3" s="1"/>
  <c r="CX94" i="3" s="1"/>
  <c r="CX93" i="3" s="1"/>
  <c r="CX92" i="3" s="1"/>
  <c r="CX91" i="3" s="1"/>
  <c r="CX90" i="3" s="1"/>
  <c r="CX89" i="3" s="1"/>
  <c r="CX88" i="3" s="1"/>
  <c r="CX87" i="3" s="1"/>
  <c r="CX86" i="3" s="1"/>
  <c r="CX85" i="3" s="1"/>
  <c r="CX84" i="3" s="1"/>
  <c r="CX83" i="3" s="1"/>
  <c r="CX82" i="3" s="1"/>
  <c r="CX81" i="3" s="1"/>
  <c r="CX80" i="3" s="1"/>
  <c r="CX79" i="3" s="1"/>
  <c r="CX78" i="3" s="1"/>
  <c r="CX77" i="3" s="1"/>
  <c r="CX76" i="3" s="1"/>
  <c r="CX75" i="3" s="1"/>
  <c r="CX74" i="3" s="1"/>
  <c r="DF54" i="3"/>
  <c r="DG54" i="3" s="1"/>
  <c r="DH54" i="3" s="1"/>
  <c r="DI54" i="3" s="1"/>
  <c r="DJ54" i="3" s="1"/>
  <c r="DK54" i="3" s="1"/>
  <c r="DL54" i="3" s="1"/>
  <c r="DM54" i="3" s="1"/>
  <c r="DN54" i="3" s="1"/>
  <c r="DO54" i="3" s="1"/>
  <c r="DP54" i="3" s="1"/>
  <c r="DQ54" i="3" s="1"/>
  <c r="DR54" i="3" s="1"/>
  <c r="DS54" i="3" s="1"/>
  <c r="DT54" i="3" s="1"/>
  <c r="DU54" i="3" s="1"/>
  <c r="DV54" i="3" s="1"/>
  <c r="DW54" i="3" s="1"/>
  <c r="CH60" i="3"/>
  <c r="CI60" i="3" s="1"/>
  <c r="CJ60" i="3" s="1"/>
  <c r="CK60" i="3" s="1"/>
  <c r="CL60" i="3" s="1"/>
  <c r="CM60" i="3" s="1"/>
  <c r="CN60" i="3" s="1"/>
  <c r="CO60" i="3" s="1"/>
  <c r="CP60" i="3" s="1"/>
  <c r="CQ60" i="3" s="1"/>
  <c r="CR60" i="3" s="1"/>
  <c r="CS60" i="3" s="1"/>
  <c r="CT60" i="3" s="1"/>
  <c r="CU60" i="3" s="1"/>
  <c r="CV60" i="3" s="1"/>
  <c r="CW60" i="3" s="1"/>
  <c r="CX60" i="3" s="1"/>
  <c r="CY60" i="3" s="1"/>
  <c r="CY69" i="3"/>
  <c r="DE40" i="3"/>
  <c r="CY61" i="3"/>
  <c r="DE48" i="3"/>
  <c r="DF48" i="3" s="1"/>
  <c r="DG48" i="3" s="1"/>
  <c r="DH48" i="3" s="1"/>
  <c r="DI48" i="3" s="1"/>
  <c r="DJ48" i="3" s="1"/>
  <c r="DK48" i="3" s="1"/>
  <c r="DL48" i="3" s="1"/>
  <c r="DM48" i="3" s="1"/>
  <c r="DN48" i="3" s="1"/>
  <c r="DO48" i="3" s="1"/>
  <c r="DP48" i="3" s="1"/>
  <c r="DQ48" i="3" s="1"/>
  <c r="DR48" i="3" s="1"/>
  <c r="DS48" i="3" s="1"/>
  <c r="DT48" i="3" s="1"/>
  <c r="DU48" i="3" s="1"/>
  <c r="DV48" i="3" s="1"/>
  <c r="DW48" i="3" s="1"/>
  <c r="DX48" i="3" s="1"/>
  <c r="DY48" i="3" s="1"/>
  <c r="DZ48" i="3" s="1"/>
  <c r="EA48" i="3" s="1"/>
  <c r="EB48" i="3" s="1"/>
  <c r="EC48" i="3" s="1"/>
  <c r="DE44" i="3"/>
  <c r="DF44" i="3" s="1"/>
  <c r="DG44" i="3" s="1"/>
  <c r="DH44" i="3" s="1"/>
  <c r="DI44" i="3" s="1"/>
  <c r="DJ44" i="3" s="1"/>
  <c r="DK44" i="3" s="1"/>
  <c r="DL44" i="3" s="1"/>
  <c r="DM44" i="3" s="1"/>
  <c r="DN44" i="3" s="1"/>
  <c r="DO44" i="3" s="1"/>
  <c r="DP44" i="3" s="1"/>
  <c r="DQ44" i="3" s="1"/>
  <c r="DR44" i="3" s="1"/>
  <c r="DS44" i="3" s="1"/>
  <c r="DT44" i="3" s="1"/>
  <c r="DU44" i="3" s="1"/>
  <c r="DV44" i="3" s="1"/>
  <c r="DW44" i="3" s="1"/>
  <c r="DX44" i="3" s="1"/>
  <c r="DY44" i="3" s="1"/>
  <c r="DZ44" i="3" s="1"/>
  <c r="EA44" i="3" s="1"/>
  <c r="EB44" i="3" s="1"/>
  <c r="EC44" i="3" s="1"/>
  <c r="ED44" i="3" s="1"/>
  <c r="EE44" i="3" s="1"/>
  <c r="EF44" i="3" s="1"/>
  <c r="EG44" i="3" s="1"/>
  <c r="CY39" i="3"/>
  <c r="CX66" i="3"/>
  <c r="CY66" i="3" s="1"/>
  <c r="CT45" i="3"/>
  <c r="CU45" i="3" s="1"/>
  <c r="CV45" i="3" s="1"/>
  <c r="CW45" i="3" s="1"/>
  <c r="CX45" i="3" s="1"/>
  <c r="CY45" i="3" s="1"/>
  <c r="CS103" i="3"/>
  <c r="CS102" i="3" s="1"/>
  <c r="CS101" i="3" s="1"/>
  <c r="CS100" i="3" s="1"/>
  <c r="CS99" i="3" s="1"/>
  <c r="CS98" i="3" s="1"/>
  <c r="CS97" i="3" s="1"/>
  <c r="CS96" i="3" s="1"/>
  <c r="CS95" i="3" s="1"/>
  <c r="CS94" i="3" s="1"/>
  <c r="CS93" i="3" s="1"/>
  <c r="CS92" i="3" s="1"/>
  <c r="CS91" i="3" s="1"/>
  <c r="CS90" i="3" s="1"/>
  <c r="CS89" i="3" s="1"/>
  <c r="CS88" i="3" s="1"/>
  <c r="CS87" i="3" s="1"/>
  <c r="CS86" i="3" s="1"/>
  <c r="CS85" i="3" s="1"/>
  <c r="CS84" i="3" s="1"/>
  <c r="CS83" i="3" s="1"/>
  <c r="CS82" i="3" s="1"/>
  <c r="CS81" i="3" s="1"/>
  <c r="CS80" i="3" s="1"/>
  <c r="CS79" i="3" s="1"/>
  <c r="CS78" i="3" s="1"/>
  <c r="CS77" i="3" s="1"/>
  <c r="CS76" i="3" s="1"/>
  <c r="CS75" i="3" s="1"/>
  <c r="CS74" i="3" s="1"/>
  <c r="CX41" i="3"/>
  <c r="CJ64" i="3"/>
  <c r="CK64" i="3" s="1"/>
  <c r="CL64" i="3" s="1"/>
  <c r="CM64" i="3" s="1"/>
  <c r="CN64" i="3" s="1"/>
  <c r="CO64" i="3" s="1"/>
  <c r="CP64" i="3" s="1"/>
  <c r="CQ64" i="3" s="1"/>
  <c r="CR64" i="3" s="1"/>
  <c r="CS64" i="3" s="1"/>
  <c r="CT64" i="3" s="1"/>
  <c r="CU64" i="3" s="1"/>
  <c r="CV64" i="3" s="1"/>
  <c r="CW64" i="3" s="1"/>
  <c r="CX64" i="3" s="1"/>
  <c r="CY64" i="3" s="1"/>
  <c r="DE55" i="3"/>
  <c r="DF55" i="3" s="1"/>
  <c r="DG55" i="3" s="1"/>
  <c r="DH55" i="3" s="1"/>
  <c r="DI55" i="3" s="1"/>
  <c r="DJ55" i="3" s="1"/>
  <c r="DK55" i="3" s="1"/>
  <c r="DL55" i="3" s="1"/>
  <c r="DM55" i="3" s="1"/>
  <c r="DN55" i="3" s="1"/>
  <c r="DO55" i="3" s="1"/>
  <c r="DP55" i="3" s="1"/>
  <c r="DQ55" i="3" s="1"/>
  <c r="DR55" i="3" s="1"/>
  <c r="DS55" i="3" s="1"/>
  <c r="DT55" i="3" s="1"/>
  <c r="DU55" i="3" s="1"/>
  <c r="DV55" i="3" s="1"/>
  <c r="DW55" i="3" s="1"/>
  <c r="DX55" i="3" s="1"/>
  <c r="DY55" i="3" s="1"/>
  <c r="DZ55" i="3" s="1"/>
  <c r="EA55" i="3" s="1"/>
  <c r="EB55" i="3" s="1"/>
  <c r="EC55" i="3" s="1"/>
  <c r="ED55" i="3" s="1"/>
  <c r="EE55" i="3" s="1"/>
  <c r="EF55" i="3" s="1"/>
  <c r="EG55" i="3" s="1"/>
  <c r="EH55" i="3" s="1"/>
  <c r="DE51" i="3"/>
  <c r="DF51" i="3" s="1"/>
  <c r="DG51" i="3" s="1"/>
  <c r="DH51" i="3" s="1"/>
  <c r="DI51" i="3" s="1"/>
  <c r="DJ51" i="3" s="1"/>
  <c r="DK51" i="3" s="1"/>
  <c r="DL51" i="3" s="1"/>
  <c r="DM51" i="3" s="1"/>
  <c r="DN51" i="3" s="1"/>
  <c r="DO51" i="3" s="1"/>
  <c r="DP51" i="3" s="1"/>
  <c r="DQ51" i="3" s="1"/>
  <c r="DR51" i="3" s="1"/>
  <c r="DS51" i="3" s="1"/>
  <c r="DT51" i="3" s="1"/>
  <c r="DU51" i="3" s="1"/>
  <c r="DV51" i="3" s="1"/>
  <c r="DW51" i="3" s="1"/>
  <c r="DX51" i="3" s="1"/>
  <c r="DY51" i="3" s="1"/>
  <c r="DZ51" i="3" s="1"/>
  <c r="EA51" i="3" s="1"/>
  <c r="EB51" i="3" s="1"/>
  <c r="EC51" i="3" s="1"/>
  <c r="ED51" i="3" s="1"/>
  <c r="EE51" i="3" s="1"/>
  <c r="EF51" i="3" s="1"/>
  <c r="EG51" i="3" s="1"/>
  <c r="BW43" i="3"/>
  <c r="BX43" i="3" s="1"/>
  <c r="BY43" i="3" s="1"/>
  <c r="BZ43" i="3" s="1"/>
  <c r="CA43" i="3" s="1"/>
  <c r="CB43" i="3" s="1"/>
  <c r="CC43" i="3" s="1"/>
  <c r="CD43" i="3" s="1"/>
  <c r="CE43" i="3" s="1"/>
  <c r="CF43" i="3" s="1"/>
  <c r="CG43" i="3" s="1"/>
  <c r="CH43" i="3" s="1"/>
  <c r="CI43" i="3" s="1"/>
  <c r="CJ43" i="3" s="1"/>
  <c r="CK43" i="3" s="1"/>
  <c r="CL43" i="3" s="1"/>
  <c r="CM43" i="3" s="1"/>
  <c r="CN43" i="3" s="1"/>
  <c r="CO43" i="3" s="1"/>
  <c r="CP43" i="3" s="1"/>
  <c r="CQ43" i="3" s="1"/>
  <c r="CR43" i="3" s="1"/>
  <c r="CS43" i="3" s="1"/>
  <c r="CT43" i="3" s="1"/>
  <c r="CU43" i="3" s="1"/>
  <c r="DE65" i="3"/>
  <c r="DF65" i="3" s="1"/>
  <c r="DG65" i="3" s="1"/>
  <c r="DH65" i="3" s="1"/>
  <c r="DI65" i="3" s="1"/>
  <c r="DJ65" i="3" s="1"/>
  <c r="DK65" i="3" s="1"/>
  <c r="DL65" i="3" s="1"/>
  <c r="BW63" i="3"/>
  <c r="BX63" i="3" s="1"/>
  <c r="BY63" i="3" s="1"/>
  <c r="BZ63" i="3" s="1"/>
  <c r="CA63" i="3" s="1"/>
  <c r="CB63" i="3" s="1"/>
  <c r="CC63" i="3" s="1"/>
  <c r="CD63" i="3" s="1"/>
  <c r="CE63" i="3" s="1"/>
  <c r="CF63" i="3" s="1"/>
  <c r="CG63" i="3" s="1"/>
  <c r="CH63" i="3" s="1"/>
  <c r="CI63" i="3" s="1"/>
  <c r="CJ63" i="3" s="1"/>
  <c r="CK63" i="3" s="1"/>
  <c r="CL63" i="3" s="1"/>
  <c r="CM63" i="3" s="1"/>
  <c r="CN63" i="3" s="1"/>
  <c r="CO63" i="3" s="1"/>
  <c r="CP63" i="3" s="1"/>
  <c r="CQ63" i="3" s="1"/>
  <c r="CR63" i="3" s="1"/>
  <c r="CS63" i="3" s="1"/>
  <c r="CT63" i="3" s="1"/>
  <c r="CU63" i="3" s="1"/>
  <c r="CV63" i="3" s="1"/>
  <c r="CW63" i="3" s="1"/>
  <c r="CX63" i="3" s="1"/>
  <c r="CY63" i="3" s="1"/>
  <c r="BZ60" i="3"/>
  <c r="CA60" i="3" s="1"/>
  <c r="CB60" i="3" s="1"/>
  <c r="CC60" i="3" s="1"/>
  <c r="CD60" i="3" s="1"/>
  <c r="CE60" i="3" s="1"/>
  <c r="CF60" i="3" s="1"/>
  <c r="CG60" i="3" s="1"/>
  <c r="BW103" i="3"/>
  <c r="BW102" i="3" s="1"/>
  <c r="BW101" i="3" s="1"/>
  <c r="BW100" i="3" s="1"/>
  <c r="BW99" i="3" s="1"/>
  <c r="BW98" i="3" s="1"/>
  <c r="BW97" i="3" s="1"/>
  <c r="BW96" i="3" s="1"/>
  <c r="BW95" i="3" s="1"/>
  <c r="BW94" i="3" s="1"/>
  <c r="BW93" i="3" s="1"/>
  <c r="BW92" i="3" s="1"/>
  <c r="BW91" i="3" s="1"/>
  <c r="BW90" i="3" s="1"/>
  <c r="BW89" i="3" s="1"/>
  <c r="BW88" i="3" s="1"/>
  <c r="BW87" i="3" s="1"/>
  <c r="BW86" i="3" s="1"/>
  <c r="BW85" i="3" s="1"/>
  <c r="BW84" i="3" s="1"/>
  <c r="BW83" i="3" s="1"/>
  <c r="BW82" i="3" s="1"/>
  <c r="BW81" i="3" s="1"/>
  <c r="BW80" i="3" s="1"/>
  <c r="BW79" i="3" s="1"/>
  <c r="BW78" i="3" s="1"/>
  <c r="BW77" i="3" s="1"/>
  <c r="BW76" i="3" s="1"/>
  <c r="BW75" i="3" s="1"/>
  <c r="BW74" i="3" s="1"/>
  <c r="BY103" i="3"/>
  <c r="BY102" i="3" s="1"/>
  <c r="BY101" i="3" s="1"/>
  <c r="BY100" i="3" s="1"/>
  <c r="BY99" i="3" s="1"/>
  <c r="BY98" i="3" s="1"/>
  <c r="BY97" i="3" s="1"/>
  <c r="BY96" i="3" s="1"/>
  <c r="BY95" i="3" s="1"/>
  <c r="BY94" i="3" s="1"/>
  <c r="BY93" i="3" s="1"/>
  <c r="BY92" i="3" s="1"/>
  <c r="BY91" i="3" s="1"/>
  <c r="BY90" i="3" s="1"/>
  <c r="BY89" i="3" s="1"/>
  <c r="BY88" i="3" s="1"/>
  <c r="BY87" i="3" s="1"/>
  <c r="BY86" i="3" s="1"/>
  <c r="BY85" i="3" s="1"/>
  <c r="BY84" i="3" s="1"/>
  <c r="BY83" i="3" s="1"/>
  <c r="BY82" i="3" s="1"/>
  <c r="BY81" i="3" s="1"/>
  <c r="BY80" i="3" s="1"/>
  <c r="BY79" i="3" s="1"/>
  <c r="BY78" i="3" s="1"/>
  <c r="BY77" i="3" s="1"/>
  <c r="BY76" i="3" s="1"/>
  <c r="BY75" i="3" s="1"/>
  <c r="BY74" i="3" s="1"/>
  <c r="BW57" i="3"/>
  <c r="BX57" i="3" s="1"/>
  <c r="BY57" i="3" s="1"/>
  <c r="BZ57" i="3" s="1"/>
  <c r="CA57" i="3" s="1"/>
  <c r="CB57" i="3" s="1"/>
  <c r="CC57" i="3" s="1"/>
  <c r="CD57" i="3" s="1"/>
  <c r="CE57" i="3" s="1"/>
  <c r="CF57" i="3" s="1"/>
  <c r="CG57" i="3" s="1"/>
  <c r="CH57" i="3" s="1"/>
  <c r="CI57" i="3" s="1"/>
  <c r="CJ57" i="3" s="1"/>
  <c r="CK57" i="3" s="1"/>
  <c r="CL57" i="3" s="1"/>
  <c r="CM57" i="3" s="1"/>
  <c r="CN57" i="3" s="1"/>
  <c r="CO57" i="3" s="1"/>
  <c r="CP57" i="3" s="1"/>
  <c r="CQ57" i="3" s="1"/>
  <c r="CR57" i="3" s="1"/>
  <c r="CS57" i="3" s="1"/>
  <c r="CT57" i="3" s="1"/>
  <c r="CU57" i="3" s="1"/>
  <c r="CV57" i="3" s="1"/>
  <c r="CW57" i="3" s="1"/>
  <c r="CV103" i="3"/>
  <c r="CV102" i="3" s="1"/>
  <c r="CV101" i="3" s="1"/>
  <c r="CV100" i="3" s="1"/>
  <c r="CV99" i="3" s="1"/>
  <c r="CV98" i="3" s="1"/>
  <c r="CV97" i="3" s="1"/>
  <c r="CV96" i="3" s="1"/>
  <c r="CV95" i="3" s="1"/>
  <c r="CV94" i="3" s="1"/>
  <c r="CV93" i="3" s="1"/>
  <c r="CV92" i="3" s="1"/>
  <c r="CV91" i="3" s="1"/>
  <c r="CV90" i="3" s="1"/>
  <c r="CV89" i="3" s="1"/>
  <c r="CV88" i="3" s="1"/>
  <c r="CV87" i="3" s="1"/>
  <c r="CV86" i="3" s="1"/>
  <c r="CV85" i="3" s="1"/>
  <c r="CV84" i="3" s="1"/>
  <c r="CV83" i="3" s="1"/>
  <c r="CV82" i="3" s="1"/>
  <c r="CV81" i="3" s="1"/>
  <c r="CV80" i="3" s="1"/>
  <c r="CV79" i="3" s="1"/>
  <c r="CV78" i="3" s="1"/>
  <c r="CV77" i="3" s="1"/>
  <c r="CV76" i="3" s="1"/>
  <c r="CV75" i="3" s="1"/>
  <c r="CV74" i="3" s="1"/>
  <c r="CF102" i="3"/>
  <c r="CF101" i="3" s="1"/>
  <c r="CF100" i="3" s="1"/>
  <c r="CF99" i="3" s="1"/>
  <c r="CF98" i="3" s="1"/>
  <c r="CF97" i="3" s="1"/>
  <c r="CF96" i="3" s="1"/>
  <c r="CF95" i="3" s="1"/>
  <c r="CF94" i="3" s="1"/>
  <c r="CF93" i="3" s="1"/>
  <c r="CF92" i="3" s="1"/>
  <c r="CF91" i="3" s="1"/>
  <c r="CF90" i="3" s="1"/>
  <c r="CF89" i="3" s="1"/>
  <c r="CF88" i="3" s="1"/>
  <c r="CF87" i="3" s="1"/>
  <c r="CF86" i="3" s="1"/>
  <c r="CF85" i="3" s="1"/>
  <c r="CF84" i="3" s="1"/>
  <c r="CF83" i="3" s="1"/>
  <c r="CF82" i="3" s="1"/>
  <c r="CF81" i="3" s="1"/>
  <c r="CF80" i="3" s="1"/>
  <c r="CF79" i="3" s="1"/>
  <c r="CF78" i="3" s="1"/>
  <c r="CF77" i="3" s="1"/>
  <c r="CF76" i="3" s="1"/>
  <c r="CF75" i="3" s="1"/>
  <c r="CF74" i="3" s="1"/>
  <c r="CY41" i="3"/>
  <c r="CV51" i="3"/>
  <c r="CW51" i="3" s="1"/>
  <c r="CX51" i="3" s="1"/>
  <c r="CU48" i="3"/>
  <c r="CV48" i="3" s="1"/>
  <c r="CW48" i="3" s="1"/>
  <c r="CX48" i="3" s="1"/>
  <c r="CY48" i="3" s="1"/>
  <c r="CW46" i="3"/>
  <c r="CX46" i="3" s="1"/>
  <c r="CY46" i="3" s="1"/>
  <c r="CY59" i="3"/>
  <c r="CX57" i="3"/>
  <c r="AJ39" i="3" l="1"/>
  <c r="BQ74" i="3" s="1"/>
  <c r="AJ44" i="3"/>
  <c r="BQ79" i="3" s="1"/>
  <c r="AJ56" i="3"/>
  <c r="AI56" i="3" s="1"/>
  <c r="AJ61" i="3"/>
  <c r="BQ96" i="3" s="1"/>
  <c r="AJ53" i="3"/>
  <c r="BQ88" i="3" s="1"/>
  <c r="AJ55" i="3"/>
  <c r="AI55" i="3" s="1"/>
  <c r="BP90" i="3" s="1"/>
  <c r="AJ62" i="3"/>
  <c r="AI62" i="3" s="1"/>
  <c r="AJ67" i="3"/>
  <c r="BQ102" i="3" s="1"/>
  <c r="EG49" i="3"/>
  <c r="EH49" i="3" s="1"/>
  <c r="EH44" i="3"/>
  <c r="DF63" i="3"/>
  <c r="DG63" i="3" s="1"/>
  <c r="DH63" i="3" s="1"/>
  <c r="DI63" i="3" s="1"/>
  <c r="DJ63" i="3" s="1"/>
  <c r="DK63" i="3" s="1"/>
  <c r="DL63" i="3" s="1"/>
  <c r="DM63" i="3" s="1"/>
  <c r="DN63" i="3" s="1"/>
  <c r="DO63" i="3" s="1"/>
  <c r="DP63" i="3" s="1"/>
  <c r="DQ63" i="3" s="1"/>
  <c r="DR63" i="3" s="1"/>
  <c r="DS63" i="3" s="1"/>
  <c r="DT63" i="3" s="1"/>
  <c r="DU63" i="3" s="1"/>
  <c r="DV63" i="3" s="1"/>
  <c r="DW63" i="3" s="1"/>
  <c r="DX63" i="3" s="1"/>
  <c r="DY63" i="3" s="1"/>
  <c r="DZ63" i="3" s="1"/>
  <c r="EA63" i="3" s="1"/>
  <c r="EB63" i="3" s="1"/>
  <c r="EC63" i="3" s="1"/>
  <c r="ED63" i="3" s="1"/>
  <c r="EE63" i="3" s="1"/>
  <c r="EF63" i="3" s="1"/>
  <c r="EG63" i="3" s="1"/>
  <c r="EH63" i="3" s="1"/>
  <c r="DF41" i="3"/>
  <c r="DG41" i="3" s="1"/>
  <c r="DH41" i="3" s="1"/>
  <c r="DI41" i="3" s="1"/>
  <c r="DJ41" i="3" s="1"/>
  <c r="DK41" i="3" s="1"/>
  <c r="DL41" i="3" s="1"/>
  <c r="DM41" i="3" s="1"/>
  <c r="DN41" i="3" s="1"/>
  <c r="DO41" i="3" s="1"/>
  <c r="DP41" i="3" s="1"/>
  <c r="DQ41" i="3" s="1"/>
  <c r="DR41" i="3" s="1"/>
  <c r="DS41" i="3" s="1"/>
  <c r="DT41" i="3" s="1"/>
  <c r="DU41" i="3" s="1"/>
  <c r="DV41" i="3" s="1"/>
  <c r="DW41" i="3" s="1"/>
  <c r="DX41" i="3" s="1"/>
  <c r="DY41" i="3" s="1"/>
  <c r="DZ41" i="3" s="1"/>
  <c r="EA41" i="3" s="1"/>
  <c r="EB41" i="3" s="1"/>
  <c r="EC41" i="3" s="1"/>
  <c r="ED41" i="3" s="1"/>
  <c r="EE41" i="3" s="1"/>
  <c r="EF41" i="3" s="1"/>
  <c r="EG41" i="3" s="1"/>
  <c r="EH41" i="3" s="1"/>
  <c r="DX54" i="3"/>
  <c r="DY54" i="3" s="1"/>
  <c r="DZ54" i="3" s="1"/>
  <c r="EA54" i="3" s="1"/>
  <c r="EB54" i="3" s="1"/>
  <c r="EC54" i="3" s="1"/>
  <c r="ED54" i="3" s="1"/>
  <c r="EE54" i="3" s="1"/>
  <c r="EF54" i="3" s="1"/>
  <c r="EG54" i="3" s="1"/>
  <c r="EH54" i="3" s="1"/>
  <c r="EH39" i="3"/>
  <c r="AJ59" i="3"/>
  <c r="BQ94" i="3" s="1"/>
  <c r="ED48" i="3"/>
  <c r="EE48" i="3" s="1"/>
  <c r="EF48" i="3" s="1"/>
  <c r="EG48" i="3" s="1"/>
  <c r="EH48" i="3" s="1"/>
  <c r="EF46" i="3"/>
  <c r="EG46" i="3" s="1"/>
  <c r="EH46" i="3" s="1"/>
  <c r="EE68" i="3"/>
  <c r="EF68" i="3" s="1"/>
  <c r="EG68" i="3" s="1"/>
  <c r="AJ50" i="3"/>
  <c r="BQ85" i="3" s="1"/>
  <c r="DI60" i="3"/>
  <c r="DJ60" i="3" s="1"/>
  <c r="DK60" i="3" s="1"/>
  <c r="DL60" i="3" s="1"/>
  <c r="DM60" i="3" s="1"/>
  <c r="DN60" i="3" s="1"/>
  <c r="DO60" i="3" s="1"/>
  <c r="DP60" i="3" s="1"/>
  <c r="DQ60" i="3" s="1"/>
  <c r="DR60" i="3" s="1"/>
  <c r="DS60" i="3" s="1"/>
  <c r="DT60" i="3" s="1"/>
  <c r="DU60" i="3" s="1"/>
  <c r="DV60" i="3" s="1"/>
  <c r="DW60" i="3" s="1"/>
  <c r="DX60" i="3" s="1"/>
  <c r="DY60" i="3" s="1"/>
  <c r="DZ60" i="3" s="1"/>
  <c r="EA60" i="3" s="1"/>
  <c r="EB60" i="3" s="1"/>
  <c r="EC60" i="3" s="1"/>
  <c r="ED60" i="3" s="1"/>
  <c r="EE60" i="3" s="1"/>
  <c r="EF60" i="3" s="1"/>
  <c r="EG60" i="3" s="1"/>
  <c r="EH60" i="3" s="1"/>
  <c r="EH51" i="3"/>
  <c r="DS42" i="3"/>
  <c r="DT42" i="3" s="1"/>
  <c r="DU42" i="3" s="1"/>
  <c r="DV42" i="3" s="1"/>
  <c r="DW42" i="3" s="1"/>
  <c r="DX42" i="3" s="1"/>
  <c r="DY42" i="3" s="1"/>
  <c r="DZ42" i="3" s="1"/>
  <c r="EA42" i="3" s="1"/>
  <c r="EB42" i="3" s="1"/>
  <c r="EC42" i="3" s="1"/>
  <c r="ED42" i="3" s="1"/>
  <c r="EE42" i="3" s="1"/>
  <c r="EF42" i="3" s="1"/>
  <c r="EG42" i="3" s="1"/>
  <c r="EH42" i="3" s="1"/>
  <c r="DF66" i="3"/>
  <c r="DG66" i="3" s="1"/>
  <c r="DH66" i="3" s="1"/>
  <c r="DI66" i="3" s="1"/>
  <c r="DJ66" i="3" s="1"/>
  <c r="DK66" i="3" s="1"/>
  <c r="DL66" i="3" s="1"/>
  <c r="DM66" i="3" s="1"/>
  <c r="DN66" i="3" s="1"/>
  <c r="DO66" i="3" s="1"/>
  <c r="DP66" i="3" s="1"/>
  <c r="DQ66" i="3" s="1"/>
  <c r="DR66" i="3" s="1"/>
  <c r="DS66" i="3" s="1"/>
  <c r="DT66" i="3" s="1"/>
  <c r="DU66" i="3" s="1"/>
  <c r="DV66" i="3" s="1"/>
  <c r="DW66" i="3" s="1"/>
  <c r="DX66" i="3" s="1"/>
  <c r="DY66" i="3" s="1"/>
  <c r="DZ66" i="3" s="1"/>
  <c r="EA66" i="3" s="1"/>
  <c r="EB66" i="3" s="1"/>
  <c r="EC66" i="3" s="1"/>
  <c r="ED66" i="3" s="1"/>
  <c r="EE66" i="3" s="1"/>
  <c r="EF66" i="3" s="1"/>
  <c r="EG66" i="3" s="1"/>
  <c r="EH66" i="3" s="1"/>
  <c r="DG58" i="3"/>
  <c r="DH58" i="3" s="1"/>
  <c r="DI58" i="3" s="1"/>
  <c r="DJ58" i="3" s="1"/>
  <c r="DK58" i="3" s="1"/>
  <c r="DL58" i="3" s="1"/>
  <c r="DM58" i="3" s="1"/>
  <c r="DN58" i="3" s="1"/>
  <c r="DO58" i="3" s="1"/>
  <c r="DP58" i="3" s="1"/>
  <c r="DQ58" i="3" s="1"/>
  <c r="DR58" i="3" s="1"/>
  <c r="DS58" i="3" s="1"/>
  <c r="DT58" i="3" s="1"/>
  <c r="DU58" i="3" s="1"/>
  <c r="DV58" i="3" s="1"/>
  <c r="DW58" i="3" s="1"/>
  <c r="DX58" i="3" s="1"/>
  <c r="DY58" i="3" s="1"/>
  <c r="DZ58" i="3" s="1"/>
  <c r="EA58" i="3" s="1"/>
  <c r="EB58" i="3" s="1"/>
  <c r="EC58" i="3" s="1"/>
  <c r="ED58" i="3" s="1"/>
  <c r="EE58" i="3" s="1"/>
  <c r="EF58" i="3" s="1"/>
  <c r="DM65" i="3"/>
  <c r="DN65" i="3" s="1"/>
  <c r="DO65" i="3" s="1"/>
  <c r="DP65" i="3" s="1"/>
  <c r="DQ65" i="3" s="1"/>
  <c r="DR65" i="3" s="1"/>
  <c r="DS65" i="3" s="1"/>
  <c r="DT65" i="3" s="1"/>
  <c r="DU65" i="3" s="1"/>
  <c r="DV65" i="3" s="1"/>
  <c r="DW65" i="3" s="1"/>
  <c r="DX65" i="3" s="1"/>
  <c r="DY65" i="3" s="1"/>
  <c r="DZ65" i="3" s="1"/>
  <c r="EA65" i="3" s="1"/>
  <c r="EB65" i="3" s="1"/>
  <c r="EC65" i="3" s="1"/>
  <c r="ED65" i="3" s="1"/>
  <c r="EE65" i="3" s="1"/>
  <c r="EF65" i="3" s="1"/>
  <c r="EG65" i="3" s="1"/>
  <c r="EH65" i="3" s="1"/>
  <c r="DO43" i="3"/>
  <c r="DP43" i="3" s="1"/>
  <c r="DQ43" i="3" s="1"/>
  <c r="DR43" i="3" s="1"/>
  <c r="DS43" i="3" s="1"/>
  <c r="DT43" i="3" s="1"/>
  <c r="DU43" i="3" s="1"/>
  <c r="DV43" i="3" s="1"/>
  <c r="DW43" i="3" s="1"/>
  <c r="DX43" i="3" s="1"/>
  <c r="DY43" i="3" s="1"/>
  <c r="DZ43" i="3" s="1"/>
  <c r="EA43" i="3" s="1"/>
  <c r="EB43" i="3" s="1"/>
  <c r="EC43" i="3" s="1"/>
  <c r="ED43" i="3" s="1"/>
  <c r="EE43" i="3" s="1"/>
  <c r="EF43" i="3" s="1"/>
  <c r="EG43" i="3" s="1"/>
  <c r="AJ52" i="3"/>
  <c r="BQ87" i="3" s="1"/>
  <c r="DG47" i="3"/>
  <c r="DH47" i="3" s="1"/>
  <c r="DI47" i="3" s="1"/>
  <c r="DJ47" i="3" s="1"/>
  <c r="DK47" i="3" s="1"/>
  <c r="DL47" i="3" s="1"/>
  <c r="DM47" i="3" s="1"/>
  <c r="DN47" i="3" s="1"/>
  <c r="DO47" i="3" s="1"/>
  <c r="DP47" i="3" s="1"/>
  <c r="DQ47" i="3" s="1"/>
  <c r="DR47" i="3" s="1"/>
  <c r="DS47" i="3" s="1"/>
  <c r="DT47" i="3" s="1"/>
  <c r="DU47" i="3" s="1"/>
  <c r="DV47" i="3" s="1"/>
  <c r="DW47" i="3" s="1"/>
  <c r="DX47" i="3" s="1"/>
  <c r="DY47" i="3" s="1"/>
  <c r="DZ47" i="3" s="1"/>
  <c r="EA47" i="3" s="1"/>
  <c r="EB47" i="3" s="1"/>
  <c r="EC47" i="3" s="1"/>
  <c r="ED47" i="3" s="1"/>
  <c r="EE47" i="3" s="1"/>
  <c r="EF47" i="3" s="1"/>
  <c r="EG47" i="3" s="1"/>
  <c r="EH47" i="3" s="1"/>
  <c r="EH69" i="3"/>
  <c r="DF40" i="3"/>
  <c r="DG40" i="3" s="1"/>
  <c r="DH40" i="3" s="1"/>
  <c r="DI40" i="3" s="1"/>
  <c r="DJ40" i="3" s="1"/>
  <c r="DK40" i="3" s="1"/>
  <c r="DL40" i="3" s="1"/>
  <c r="DM40" i="3" s="1"/>
  <c r="DN40" i="3" s="1"/>
  <c r="DO40" i="3" s="1"/>
  <c r="DP40" i="3" s="1"/>
  <c r="DQ40" i="3" s="1"/>
  <c r="DR40" i="3" s="1"/>
  <c r="DS40" i="3" s="1"/>
  <c r="DT40" i="3" s="1"/>
  <c r="DU40" i="3" s="1"/>
  <c r="DV40" i="3" s="1"/>
  <c r="DW40" i="3" s="1"/>
  <c r="DX40" i="3" s="1"/>
  <c r="DY40" i="3" s="1"/>
  <c r="DZ40" i="3" s="1"/>
  <c r="EA40" i="3" s="1"/>
  <c r="EB40" i="3" s="1"/>
  <c r="EC40" i="3" s="1"/>
  <c r="ED40" i="3" s="1"/>
  <c r="EE40" i="3" s="1"/>
  <c r="EF40" i="3" s="1"/>
  <c r="EG40" i="3" s="1"/>
  <c r="EH40" i="3" s="1"/>
  <c r="DF57" i="3"/>
  <c r="DG57" i="3" s="1"/>
  <c r="DH57" i="3" s="1"/>
  <c r="DI57" i="3" s="1"/>
  <c r="DJ57" i="3" s="1"/>
  <c r="DK57" i="3" s="1"/>
  <c r="DL57" i="3" s="1"/>
  <c r="DM57" i="3" s="1"/>
  <c r="DN57" i="3" s="1"/>
  <c r="DO57" i="3" s="1"/>
  <c r="DP57" i="3" s="1"/>
  <c r="DQ57" i="3" s="1"/>
  <c r="DR57" i="3" s="1"/>
  <c r="DS57" i="3" s="1"/>
  <c r="DT57" i="3" s="1"/>
  <c r="DU57" i="3" s="1"/>
  <c r="DV57" i="3" s="1"/>
  <c r="DW57" i="3" s="1"/>
  <c r="DX57" i="3" s="1"/>
  <c r="DY57" i="3" s="1"/>
  <c r="DZ57" i="3" s="1"/>
  <c r="EA57" i="3" s="1"/>
  <c r="EB57" i="3" s="1"/>
  <c r="EC57" i="3" s="1"/>
  <c r="ED57" i="3" s="1"/>
  <c r="EE57" i="3" s="1"/>
  <c r="EF57" i="3" s="1"/>
  <c r="EG57" i="3" s="1"/>
  <c r="EH102" i="3"/>
  <c r="EH101" i="3" s="1"/>
  <c r="EH100" i="3" s="1"/>
  <c r="EH99" i="3" s="1"/>
  <c r="EH98" i="3" s="1"/>
  <c r="EH97" i="3" s="1"/>
  <c r="EH96" i="3" s="1"/>
  <c r="EH95" i="3" s="1"/>
  <c r="EH94" i="3" s="1"/>
  <c r="EH93" i="3" s="1"/>
  <c r="EH92" i="3" s="1"/>
  <c r="EH91" i="3" s="1"/>
  <c r="EH90" i="3" s="1"/>
  <c r="EH89" i="3" s="1"/>
  <c r="EH88" i="3" s="1"/>
  <c r="EH87" i="3" s="1"/>
  <c r="EH86" i="3" s="1"/>
  <c r="EH85" i="3" s="1"/>
  <c r="EH84" i="3" s="1"/>
  <c r="EH83" i="3" s="1"/>
  <c r="EH82" i="3" s="1"/>
  <c r="EH81" i="3" s="1"/>
  <c r="EH80" i="3" s="1"/>
  <c r="EH79" i="3" s="1"/>
  <c r="EH78" i="3" s="1"/>
  <c r="EH77" i="3" s="1"/>
  <c r="EH76" i="3" s="1"/>
  <c r="EH75" i="3" s="1"/>
  <c r="EH74" i="3" s="1"/>
  <c r="EH61" i="3"/>
  <c r="DF64" i="3"/>
  <c r="DG64" i="3" s="1"/>
  <c r="DH64" i="3" s="1"/>
  <c r="DI64" i="3" s="1"/>
  <c r="DJ64" i="3" s="1"/>
  <c r="DK64" i="3" s="1"/>
  <c r="DL64" i="3" s="1"/>
  <c r="DM64" i="3" s="1"/>
  <c r="DN64" i="3" s="1"/>
  <c r="DO64" i="3" s="1"/>
  <c r="DP64" i="3" s="1"/>
  <c r="DQ64" i="3" s="1"/>
  <c r="DR64" i="3" s="1"/>
  <c r="DS64" i="3" s="1"/>
  <c r="DT64" i="3" s="1"/>
  <c r="DU64" i="3" s="1"/>
  <c r="DV64" i="3" s="1"/>
  <c r="DW64" i="3" s="1"/>
  <c r="DX64" i="3" s="1"/>
  <c r="DY64" i="3" s="1"/>
  <c r="DZ64" i="3" s="1"/>
  <c r="EA64" i="3" s="1"/>
  <c r="EB64" i="3" s="1"/>
  <c r="EC64" i="3" s="1"/>
  <c r="ED64" i="3" s="1"/>
  <c r="EE64" i="3" s="1"/>
  <c r="EF64" i="3" s="1"/>
  <c r="EG64" i="3" s="1"/>
  <c r="EH64" i="3" s="1"/>
  <c r="EC45" i="3"/>
  <c r="ED45" i="3" s="1"/>
  <c r="EE45" i="3" s="1"/>
  <c r="EF45" i="3" s="1"/>
  <c r="EG45" i="3" s="1"/>
  <c r="EH45" i="3" s="1"/>
  <c r="AI69" i="3"/>
  <c r="BP104" i="3" s="1"/>
  <c r="CY57" i="3"/>
  <c r="CY51" i="3"/>
  <c r="AJ51" i="3" s="1"/>
  <c r="BQ86" i="3" s="1"/>
  <c r="CX58" i="3"/>
  <c r="CY58" i="3" s="1"/>
  <c r="CV43" i="3"/>
  <c r="CW43" i="3" s="1"/>
  <c r="CX43" i="3" s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F16" i="1"/>
  <c r="BQ91" i="3" l="1"/>
  <c r="AI39" i="3"/>
  <c r="BP74" i="3" s="1"/>
  <c r="AI44" i="3"/>
  <c r="BP79" i="3" s="1"/>
  <c r="BQ97" i="3"/>
  <c r="AI61" i="3"/>
  <c r="BP96" i="3" s="1"/>
  <c r="AI67" i="3"/>
  <c r="BP102" i="3" s="1"/>
  <c r="AI59" i="3"/>
  <c r="BP94" i="3" s="1"/>
  <c r="AJ46" i="3"/>
  <c r="AI53" i="3"/>
  <c r="AH53" i="3" s="1"/>
  <c r="AJ48" i="3"/>
  <c r="BQ90" i="3"/>
  <c r="AH55" i="3"/>
  <c r="BO90" i="3" s="1"/>
  <c r="AJ66" i="3"/>
  <c r="AJ57" i="3"/>
  <c r="BQ92" i="3" s="1"/>
  <c r="AI50" i="3"/>
  <c r="BP85" i="3" s="1"/>
  <c r="EH57" i="3"/>
  <c r="EH68" i="3"/>
  <c r="AJ68" i="3"/>
  <c r="AJ47" i="3"/>
  <c r="AJ64" i="3"/>
  <c r="EG58" i="3"/>
  <c r="EH58" i="3" s="1"/>
  <c r="AJ45" i="3"/>
  <c r="AJ65" i="3"/>
  <c r="AJ63" i="3"/>
  <c r="AI52" i="3"/>
  <c r="BP87" i="3" s="1"/>
  <c r="AJ41" i="3"/>
  <c r="AJ40" i="3"/>
  <c r="AJ42" i="3"/>
  <c r="AJ60" i="3"/>
  <c r="AJ54" i="3"/>
  <c r="AJ49" i="3"/>
  <c r="AH61" i="3"/>
  <c r="BO96" i="3" s="1"/>
  <c r="AH69" i="3"/>
  <c r="BO104" i="3" s="1"/>
  <c r="BP97" i="3"/>
  <c r="AH62" i="3"/>
  <c r="BP91" i="3"/>
  <c r="AH56" i="3"/>
  <c r="CY43" i="3"/>
  <c r="AJ43" i="3" s="1"/>
  <c r="BQ78" i="3" s="1"/>
  <c r="AI51" i="3"/>
  <c r="BP86" i="3" s="1"/>
  <c r="AH39" i="3" l="1"/>
  <c r="BO74" i="3" s="1"/>
  <c r="AH59" i="3"/>
  <c r="BO94" i="3" s="1"/>
  <c r="AH67" i="3"/>
  <c r="BO102" i="3" s="1"/>
  <c r="AH44" i="3"/>
  <c r="AG44" i="3" s="1"/>
  <c r="BP88" i="3"/>
  <c r="AI57" i="3"/>
  <c r="BP92" i="3" s="1"/>
  <c r="BQ81" i="3"/>
  <c r="AI46" i="3"/>
  <c r="AG55" i="3"/>
  <c r="BN90" i="3" s="1"/>
  <c r="BQ83" i="3"/>
  <c r="AI48" i="3"/>
  <c r="AG69" i="3"/>
  <c r="BN104" i="3" s="1"/>
  <c r="AH50" i="3"/>
  <c r="BO85" i="3" s="1"/>
  <c r="BQ101" i="3"/>
  <c r="AI66" i="3"/>
  <c r="BQ76" i="3"/>
  <c r="AI41" i="3"/>
  <c r="EH43" i="3"/>
  <c r="BQ82" i="3"/>
  <c r="AI47" i="3"/>
  <c r="BQ95" i="3"/>
  <c r="AI60" i="3"/>
  <c r="BQ99" i="3"/>
  <c r="AI64" i="3"/>
  <c r="BQ98" i="3"/>
  <c r="AI63" i="3"/>
  <c r="BQ103" i="3"/>
  <c r="EG103" i="3" s="1"/>
  <c r="EG102" i="3" s="1"/>
  <c r="AI68" i="3"/>
  <c r="BQ84" i="3"/>
  <c r="AI49" i="3"/>
  <c r="BQ100" i="3"/>
  <c r="AI65" i="3"/>
  <c r="BQ80" i="3"/>
  <c r="AI45" i="3"/>
  <c r="AI42" i="3"/>
  <c r="BQ77" i="3"/>
  <c r="BQ75" i="3"/>
  <c r="AI40" i="3"/>
  <c r="AH52" i="3"/>
  <c r="BO87" i="3" s="1"/>
  <c r="BQ89" i="3"/>
  <c r="AI54" i="3"/>
  <c r="AJ58" i="3"/>
  <c r="AG61" i="3"/>
  <c r="BN96" i="3" s="1"/>
  <c r="BO88" i="3"/>
  <c r="AG53" i="3"/>
  <c r="AG59" i="3"/>
  <c r="BN94" i="3" s="1"/>
  <c r="BO97" i="3"/>
  <c r="AG62" i="3"/>
  <c r="BO91" i="3"/>
  <c r="AG56" i="3"/>
  <c r="AI43" i="3"/>
  <c r="BP78" i="3" s="1"/>
  <c r="AH51" i="3"/>
  <c r="BO86" i="3" s="1"/>
  <c r="AG67" i="3" l="1"/>
  <c r="BN102" i="3" s="1"/>
  <c r="AG39" i="3"/>
  <c r="BN74" i="3" s="1"/>
  <c r="BO79" i="3"/>
  <c r="AF55" i="3"/>
  <c r="BM90" i="3" s="1"/>
  <c r="AH57" i="3"/>
  <c r="BO92" i="3" s="1"/>
  <c r="BP81" i="3"/>
  <c r="AH46" i="3"/>
  <c r="EG101" i="3"/>
  <c r="EG100" i="3" s="1"/>
  <c r="EG99" i="3" s="1"/>
  <c r="EG98" i="3" s="1"/>
  <c r="EG97" i="3" s="1"/>
  <c r="EG96" i="3" s="1"/>
  <c r="EG95" i="3" s="1"/>
  <c r="EG94" i="3" s="1"/>
  <c r="AG50" i="3"/>
  <c r="BN85" i="3" s="1"/>
  <c r="AF69" i="3"/>
  <c r="BM104" i="3" s="1"/>
  <c r="BP83" i="3"/>
  <c r="AH48" i="3"/>
  <c r="BP101" i="3"/>
  <c r="AH66" i="3"/>
  <c r="AG52" i="3"/>
  <c r="BN87" i="3" s="1"/>
  <c r="BP100" i="3"/>
  <c r="AH65" i="3"/>
  <c r="BP98" i="3"/>
  <c r="AH63" i="3"/>
  <c r="BP75" i="3"/>
  <c r="AH40" i="3"/>
  <c r="BP84" i="3"/>
  <c r="AH49" i="3"/>
  <c r="BP99" i="3"/>
  <c r="AH64" i="3"/>
  <c r="BP82" i="3"/>
  <c r="AH47" i="3"/>
  <c r="BP89" i="3"/>
  <c r="AH54" i="3"/>
  <c r="BP77" i="3"/>
  <c r="AH42" i="3"/>
  <c r="BP95" i="3"/>
  <c r="AH60" i="3"/>
  <c r="BP76" i="3"/>
  <c r="AH41" i="3"/>
  <c r="BQ93" i="3"/>
  <c r="AI58" i="3"/>
  <c r="BP80" i="3"/>
  <c r="AH45" i="3"/>
  <c r="BP103" i="3"/>
  <c r="EF103" i="3" s="1"/>
  <c r="EF102" i="3" s="1"/>
  <c r="AH68" i="3"/>
  <c r="AF61" i="3"/>
  <c r="BM96" i="3" s="1"/>
  <c r="AF59" i="3"/>
  <c r="BM94" i="3" s="1"/>
  <c r="AF39" i="3"/>
  <c r="BM74" i="3" s="1"/>
  <c r="AE55" i="3"/>
  <c r="BL90" i="3" s="1"/>
  <c r="BN88" i="3"/>
  <c r="AF53" i="3"/>
  <c r="BN79" i="3"/>
  <c r="AF44" i="3"/>
  <c r="BN97" i="3"/>
  <c r="AF62" i="3"/>
  <c r="BN91" i="3"/>
  <c r="AF56" i="3"/>
  <c r="AH43" i="3"/>
  <c r="BO78" i="3" s="1"/>
  <c r="AG51" i="3"/>
  <c r="BN86" i="3" s="1"/>
  <c r="AF67" i="3" l="1"/>
  <c r="BM102" i="3" s="1"/>
  <c r="AG57" i="3"/>
  <c r="BN92" i="3" s="1"/>
  <c r="AE69" i="3"/>
  <c r="BL104" i="3" s="1"/>
  <c r="AF50" i="3"/>
  <c r="BM85" i="3" s="1"/>
  <c r="BO81" i="3"/>
  <c r="AG46" i="3"/>
  <c r="EF101" i="3"/>
  <c r="EF100" i="3" s="1"/>
  <c r="EF99" i="3" s="1"/>
  <c r="EF98" i="3" s="1"/>
  <c r="EF97" i="3" s="1"/>
  <c r="EF96" i="3" s="1"/>
  <c r="EF95" i="3" s="1"/>
  <c r="EF94" i="3" s="1"/>
  <c r="BO83" i="3"/>
  <c r="AG48" i="3"/>
  <c r="EG93" i="3"/>
  <c r="EG92" i="3" s="1"/>
  <c r="EG91" i="3" s="1"/>
  <c r="EG90" i="3" s="1"/>
  <c r="EG89" i="3" s="1"/>
  <c r="EG88" i="3" s="1"/>
  <c r="EG87" i="3" s="1"/>
  <c r="EG86" i="3" s="1"/>
  <c r="EG85" i="3" s="1"/>
  <c r="EG84" i="3" s="1"/>
  <c r="EG83" i="3" s="1"/>
  <c r="EG82" i="3" s="1"/>
  <c r="EG81" i="3" s="1"/>
  <c r="EG80" i="3" s="1"/>
  <c r="EG79" i="3" s="1"/>
  <c r="EG78" i="3" s="1"/>
  <c r="EG77" i="3" s="1"/>
  <c r="EG76" i="3" s="1"/>
  <c r="EG75" i="3" s="1"/>
  <c r="AJ74" i="3" s="1"/>
  <c r="AJ75" i="3" s="1"/>
  <c r="AJ76" i="3" s="1"/>
  <c r="AJ77" i="3" s="1"/>
  <c r="AJ78" i="3" s="1"/>
  <c r="AJ79" i="3" s="1"/>
  <c r="AJ80" i="3" s="1"/>
  <c r="AJ81" i="3" s="1"/>
  <c r="AJ82" i="3" s="1"/>
  <c r="AJ83" i="3" s="1"/>
  <c r="AJ84" i="3" s="1"/>
  <c r="AJ85" i="3" s="1"/>
  <c r="AJ86" i="3" s="1"/>
  <c r="AJ87" i="3" s="1"/>
  <c r="AJ88" i="3" s="1"/>
  <c r="AJ89" i="3" s="1"/>
  <c r="AJ90" i="3" s="1"/>
  <c r="AJ91" i="3" s="1"/>
  <c r="AJ92" i="3" s="1"/>
  <c r="AJ93" i="3" s="1"/>
  <c r="AJ94" i="3" s="1"/>
  <c r="AJ95" i="3" s="1"/>
  <c r="AJ96" i="3" s="1"/>
  <c r="AJ97" i="3" s="1"/>
  <c r="AJ98" i="3" s="1"/>
  <c r="AJ99" i="3" s="1"/>
  <c r="AJ100" i="3" s="1"/>
  <c r="AJ101" i="3" s="1"/>
  <c r="AJ102" i="3" s="1"/>
  <c r="AJ103" i="3" s="1"/>
  <c r="AJ104" i="3" s="1"/>
  <c r="AF52" i="3"/>
  <c r="BM87" i="3" s="1"/>
  <c r="BO101" i="3"/>
  <c r="AG66" i="3"/>
  <c r="BP93" i="3"/>
  <c r="AH58" i="3"/>
  <c r="BO89" i="3"/>
  <c r="AG54" i="3"/>
  <c r="AG40" i="3"/>
  <c r="BO75" i="3"/>
  <c r="BO82" i="3"/>
  <c r="AG47" i="3"/>
  <c r="BO103" i="3"/>
  <c r="EE103" i="3" s="1"/>
  <c r="EE102" i="3" s="1"/>
  <c r="AG68" i="3"/>
  <c r="BO95" i="3"/>
  <c r="AG60" i="3"/>
  <c r="BO99" i="3"/>
  <c r="AG64" i="3"/>
  <c r="BO100" i="3"/>
  <c r="AG65" i="3"/>
  <c r="BO76" i="3"/>
  <c r="AG41" i="3"/>
  <c r="BO80" i="3"/>
  <c r="AG45" i="3"/>
  <c r="BO77" i="3"/>
  <c r="AG42" i="3"/>
  <c r="BO84" i="3"/>
  <c r="AG49" i="3"/>
  <c r="BO98" i="3"/>
  <c r="AG63" i="3"/>
  <c r="AE67" i="3"/>
  <c r="BL102" i="3" s="1"/>
  <c r="AE61" i="3"/>
  <c r="BL96" i="3" s="1"/>
  <c r="AD55" i="3"/>
  <c r="BK90" i="3" s="1"/>
  <c r="AE59" i="3"/>
  <c r="BL94" i="3" s="1"/>
  <c r="AE39" i="3"/>
  <c r="BL74" i="3" s="1"/>
  <c r="BM88" i="3"/>
  <c r="AE53" i="3"/>
  <c r="BM97" i="3"/>
  <c r="AE62" i="3"/>
  <c r="BM79" i="3"/>
  <c r="AE44" i="3"/>
  <c r="BM91" i="3"/>
  <c r="AE56" i="3"/>
  <c r="AF51" i="3"/>
  <c r="BM86" i="3" s="1"/>
  <c r="AG43" i="3"/>
  <c r="BN78" i="3" s="1"/>
  <c r="AF57" i="3"/>
  <c r="BM92" i="3" s="1"/>
  <c r="H16" i="1"/>
  <c r="AI16" i="1"/>
  <c r="O16" i="1"/>
  <c r="W16" i="1"/>
  <c r="AE16" i="1"/>
  <c r="F18" i="1"/>
  <c r="AD69" i="3" l="1"/>
  <c r="BK104" i="3" s="1"/>
  <c r="AE50" i="3"/>
  <c r="BL85" i="3" s="1"/>
  <c r="BN81" i="3"/>
  <c r="AF46" i="3"/>
  <c r="AE52" i="3"/>
  <c r="BL87" i="3" s="1"/>
  <c r="EF93" i="3"/>
  <c r="EF92" i="3" s="1"/>
  <c r="EF91" i="3" s="1"/>
  <c r="EF90" i="3" s="1"/>
  <c r="EF89" i="3" s="1"/>
  <c r="EF88" i="3" s="1"/>
  <c r="EF87" i="3" s="1"/>
  <c r="EF86" i="3" s="1"/>
  <c r="EF85" i="3" s="1"/>
  <c r="EF84" i="3" s="1"/>
  <c r="EF83" i="3" s="1"/>
  <c r="EF82" i="3" s="1"/>
  <c r="EF81" i="3" s="1"/>
  <c r="EF80" i="3" s="1"/>
  <c r="EF79" i="3" s="1"/>
  <c r="EF78" i="3" s="1"/>
  <c r="EF77" i="3" s="1"/>
  <c r="EF76" i="3" s="1"/>
  <c r="EF75" i="3" s="1"/>
  <c r="AI74" i="3" s="1"/>
  <c r="AI75" i="3" s="1"/>
  <c r="AI76" i="3" s="1"/>
  <c r="AI77" i="3" s="1"/>
  <c r="AI78" i="3" s="1"/>
  <c r="AI79" i="3" s="1"/>
  <c r="AI80" i="3" s="1"/>
  <c r="AI81" i="3" s="1"/>
  <c r="AI82" i="3" s="1"/>
  <c r="AI83" i="3" s="1"/>
  <c r="AI84" i="3" s="1"/>
  <c r="AI85" i="3" s="1"/>
  <c r="AI86" i="3" s="1"/>
  <c r="AI87" i="3" s="1"/>
  <c r="AI88" i="3" s="1"/>
  <c r="AI89" i="3" s="1"/>
  <c r="AI90" i="3" s="1"/>
  <c r="AI91" i="3" s="1"/>
  <c r="AI92" i="3" s="1"/>
  <c r="AI93" i="3" s="1"/>
  <c r="AI94" i="3" s="1"/>
  <c r="AI95" i="3" s="1"/>
  <c r="AI96" i="3" s="1"/>
  <c r="AI97" i="3" s="1"/>
  <c r="AI98" i="3" s="1"/>
  <c r="AI99" i="3" s="1"/>
  <c r="AI100" i="3" s="1"/>
  <c r="AI101" i="3" s="1"/>
  <c r="AI102" i="3" s="1"/>
  <c r="AI103" i="3" s="1"/>
  <c r="AI104" i="3" s="1"/>
  <c r="EG74" i="3"/>
  <c r="BN83" i="3"/>
  <c r="AF48" i="3"/>
  <c r="EE101" i="3"/>
  <c r="EE100" i="3" s="1"/>
  <c r="EE99" i="3" s="1"/>
  <c r="EE98" i="3" s="1"/>
  <c r="EE97" i="3" s="1"/>
  <c r="EE96" i="3" s="1"/>
  <c r="EE95" i="3" s="1"/>
  <c r="EE94" i="3" s="1"/>
  <c r="BN101" i="3"/>
  <c r="AF66" i="3"/>
  <c r="BN99" i="3"/>
  <c r="AF64" i="3"/>
  <c r="BN80" i="3"/>
  <c r="AF45" i="3"/>
  <c r="BN75" i="3"/>
  <c r="AF40" i="3"/>
  <c r="BN89" i="3"/>
  <c r="AF54" i="3"/>
  <c r="BN98" i="3"/>
  <c r="AF63" i="3"/>
  <c r="BN76" i="3"/>
  <c r="AF41" i="3"/>
  <c r="BN103" i="3"/>
  <c r="ED103" i="3" s="1"/>
  <c r="ED102" i="3" s="1"/>
  <c r="AF68" i="3"/>
  <c r="BO93" i="3"/>
  <c r="AG58" i="3"/>
  <c r="BN95" i="3"/>
  <c r="AF60" i="3"/>
  <c r="BN84" i="3"/>
  <c r="AF49" i="3"/>
  <c r="BN100" i="3"/>
  <c r="AF65" i="3"/>
  <c r="AF47" i="3"/>
  <c r="BN82" i="3"/>
  <c r="BN77" i="3"/>
  <c r="AF42" i="3"/>
  <c r="AD67" i="3"/>
  <c r="BK102" i="3" s="1"/>
  <c r="AD61" i="3"/>
  <c r="AC55" i="3"/>
  <c r="BJ90" i="3" s="1"/>
  <c r="AD59" i="3"/>
  <c r="BK94" i="3" s="1"/>
  <c r="AD39" i="3"/>
  <c r="BK74" i="3" s="1"/>
  <c r="BL88" i="3"/>
  <c r="AD53" i="3"/>
  <c r="BL79" i="3"/>
  <c r="AD44" i="3"/>
  <c r="BL97" i="3"/>
  <c r="AD62" i="3"/>
  <c r="BL91" i="3"/>
  <c r="AD56" i="3"/>
  <c r="AF43" i="3"/>
  <c r="BM78" i="3" s="1"/>
  <c r="AE57" i="3"/>
  <c r="BL92" i="3" s="1"/>
  <c r="AE51" i="3"/>
  <c r="BL86" i="3" s="1"/>
  <c r="AJ16" i="1"/>
  <c r="AB16" i="1"/>
  <c r="T16" i="1"/>
  <c r="L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AC69" i="3" l="1"/>
  <c r="BJ104" i="3" s="1"/>
  <c r="AD50" i="3"/>
  <c r="BK85" i="3" s="1"/>
  <c r="AD52" i="3"/>
  <c r="BK87" i="3" s="1"/>
  <c r="BM81" i="3"/>
  <c r="AE46" i="3"/>
  <c r="EE93" i="3"/>
  <c r="EE92" i="3" s="1"/>
  <c r="EE91" i="3" s="1"/>
  <c r="EE90" i="3" s="1"/>
  <c r="EE89" i="3" s="1"/>
  <c r="EE88" i="3" s="1"/>
  <c r="EE87" i="3" s="1"/>
  <c r="EE86" i="3" s="1"/>
  <c r="EE85" i="3" s="1"/>
  <c r="EE84" i="3" s="1"/>
  <c r="EE83" i="3" s="1"/>
  <c r="EE82" i="3" s="1"/>
  <c r="EE81" i="3" s="1"/>
  <c r="EE80" i="3" s="1"/>
  <c r="EE79" i="3" s="1"/>
  <c r="EE78" i="3" s="1"/>
  <c r="EE77" i="3" s="1"/>
  <c r="EE76" i="3" s="1"/>
  <c r="EE75" i="3" s="1"/>
  <c r="AH74" i="3" s="1"/>
  <c r="AH75" i="3" s="1"/>
  <c r="AH76" i="3" s="1"/>
  <c r="AH77" i="3" s="1"/>
  <c r="AH78" i="3" s="1"/>
  <c r="AH79" i="3" s="1"/>
  <c r="AH80" i="3" s="1"/>
  <c r="AH81" i="3" s="1"/>
  <c r="AH82" i="3" s="1"/>
  <c r="AH83" i="3" s="1"/>
  <c r="AH84" i="3" s="1"/>
  <c r="AH85" i="3" s="1"/>
  <c r="AH86" i="3" s="1"/>
  <c r="AH87" i="3" s="1"/>
  <c r="AH88" i="3" s="1"/>
  <c r="AH89" i="3" s="1"/>
  <c r="AH90" i="3" s="1"/>
  <c r="AH91" i="3" s="1"/>
  <c r="AH92" i="3" s="1"/>
  <c r="AH93" i="3" s="1"/>
  <c r="AH94" i="3" s="1"/>
  <c r="AH95" i="3" s="1"/>
  <c r="AH96" i="3" s="1"/>
  <c r="AH97" i="3" s="1"/>
  <c r="AH98" i="3" s="1"/>
  <c r="AH99" i="3" s="1"/>
  <c r="AH100" i="3" s="1"/>
  <c r="AH101" i="3" s="1"/>
  <c r="AH102" i="3" s="1"/>
  <c r="AH103" i="3" s="1"/>
  <c r="AH104" i="3" s="1"/>
  <c r="EF74" i="3"/>
  <c r="ED101" i="3"/>
  <c r="ED100" i="3" s="1"/>
  <c r="ED99" i="3" s="1"/>
  <c r="ED98" i="3" s="1"/>
  <c r="ED97" i="3" s="1"/>
  <c r="ED96" i="3" s="1"/>
  <c r="ED95" i="3" s="1"/>
  <c r="ED94" i="3" s="1"/>
  <c r="BM83" i="3"/>
  <c r="AE48" i="3"/>
  <c r="BM101" i="3"/>
  <c r="AE66" i="3"/>
  <c r="BM89" i="3"/>
  <c r="AE54" i="3"/>
  <c r="BN93" i="3"/>
  <c r="AF58" i="3"/>
  <c r="BM75" i="3"/>
  <c r="AE40" i="3"/>
  <c r="BM77" i="3"/>
  <c r="AE42" i="3"/>
  <c r="BM84" i="3"/>
  <c r="AE49" i="3"/>
  <c r="BM76" i="3"/>
  <c r="AE41" i="3"/>
  <c r="BM80" i="3"/>
  <c r="AE45" i="3"/>
  <c r="BM100" i="3"/>
  <c r="AE65" i="3"/>
  <c r="BM103" i="3"/>
  <c r="EC103" i="3" s="1"/>
  <c r="EC102" i="3" s="1"/>
  <c r="AE68" i="3"/>
  <c r="BM95" i="3"/>
  <c r="AE60" i="3"/>
  <c r="BM98" i="3"/>
  <c r="AE63" i="3"/>
  <c r="BM99" i="3"/>
  <c r="AE64" i="3"/>
  <c r="BM82" i="3"/>
  <c r="AE47" i="3"/>
  <c r="AC52" i="3"/>
  <c r="BJ87" i="3" s="1"/>
  <c r="AC67" i="3"/>
  <c r="BJ102" i="3" s="1"/>
  <c r="AB55" i="3"/>
  <c r="BI90" i="3" s="1"/>
  <c r="AC50" i="3"/>
  <c r="BJ85" i="3" s="1"/>
  <c r="BK96" i="3"/>
  <c r="AC61" i="3"/>
  <c r="AC59" i="3"/>
  <c r="BJ94" i="3" s="1"/>
  <c r="AC39" i="3"/>
  <c r="BJ74" i="3" s="1"/>
  <c r="BK88" i="3"/>
  <c r="AC53" i="3"/>
  <c r="BK97" i="3"/>
  <c r="AC62" i="3"/>
  <c r="BK79" i="3"/>
  <c r="AC44" i="3"/>
  <c r="BK91" i="3"/>
  <c r="AC56" i="3"/>
  <c r="AE43" i="3"/>
  <c r="BL78" i="3" s="1"/>
  <c r="AB69" i="3"/>
  <c r="BI104" i="3" s="1"/>
  <c r="AD57" i="3"/>
  <c r="BK92" i="3" s="1"/>
  <c r="AD51" i="3"/>
  <c r="BK86" i="3" s="1"/>
  <c r="C4" i="1"/>
  <c r="EC101" i="3" l="1"/>
  <c r="EC100" i="3" s="1"/>
  <c r="EC99" i="3" s="1"/>
  <c r="EC98" i="3" s="1"/>
  <c r="EC97" i="3" s="1"/>
  <c r="EC96" i="3" s="1"/>
  <c r="EC95" i="3" s="1"/>
  <c r="EC94" i="3" s="1"/>
  <c r="BL81" i="3"/>
  <c r="AD46" i="3"/>
  <c r="EE74" i="3"/>
  <c r="BL83" i="3"/>
  <c r="AD48" i="3"/>
  <c r="ED93" i="3"/>
  <c r="ED92" i="3" s="1"/>
  <c r="ED91" i="3" s="1"/>
  <c r="ED90" i="3" s="1"/>
  <c r="ED89" i="3" s="1"/>
  <c r="ED88" i="3" s="1"/>
  <c r="ED87" i="3" s="1"/>
  <c r="ED86" i="3" s="1"/>
  <c r="ED85" i="3" s="1"/>
  <c r="ED84" i="3" s="1"/>
  <c r="ED83" i="3" s="1"/>
  <c r="ED82" i="3" s="1"/>
  <c r="ED81" i="3" s="1"/>
  <c r="ED80" i="3" s="1"/>
  <c r="ED79" i="3" s="1"/>
  <c r="ED78" i="3" s="1"/>
  <c r="ED77" i="3" s="1"/>
  <c r="ED76" i="3" s="1"/>
  <c r="ED75" i="3" s="1"/>
  <c r="ED74" i="3" s="1"/>
  <c r="BL101" i="3"/>
  <c r="AD66" i="3"/>
  <c r="AG38" i="1"/>
  <c r="C15" i="1"/>
  <c r="AJ25" i="1"/>
  <c r="F22" i="1"/>
  <c r="G25" i="1" s="1"/>
  <c r="BL80" i="3"/>
  <c r="AD45" i="3"/>
  <c r="BL75" i="3"/>
  <c r="AD40" i="3"/>
  <c r="BL76" i="3"/>
  <c r="AD41" i="3"/>
  <c r="BM93" i="3"/>
  <c r="AE58" i="3"/>
  <c r="BL95" i="3"/>
  <c r="AD60" i="3"/>
  <c r="BL82" i="3"/>
  <c r="AD47" i="3"/>
  <c r="BL84" i="3"/>
  <c r="AD49" i="3"/>
  <c r="BL99" i="3"/>
  <c r="AD64" i="3"/>
  <c r="BL89" i="3"/>
  <c r="AD54" i="3"/>
  <c r="BL98" i="3"/>
  <c r="AD63" i="3"/>
  <c r="BL103" i="3"/>
  <c r="EB103" i="3" s="1"/>
  <c r="EB102" i="3" s="1"/>
  <c r="AD68" i="3"/>
  <c r="BL100" i="3"/>
  <c r="AD65" i="3"/>
  <c r="BL77" i="3"/>
  <c r="AD42" i="3"/>
  <c r="AB67" i="3"/>
  <c r="BI102" i="3" s="1"/>
  <c r="AB50" i="3"/>
  <c r="BI85" i="3" s="1"/>
  <c r="AB52" i="3"/>
  <c r="BI87" i="3" s="1"/>
  <c r="AA55" i="3"/>
  <c r="BH90" i="3" s="1"/>
  <c r="BJ96" i="3"/>
  <c r="AB61" i="3"/>
  <c r="AB59" i="3"/>
  <c r="BI94" i="3" s="1"/>
  <c r="AB39" i="3"/>
  <c r="BI74" i="3" s="1"/>
  <c r="BJ88" i="3"/>
  <c r="AB53" i="3"/>
  <c r="BJ79" i="3"/>
  <c r="AB44" i="3"/>
  <c r="BJ97" i="3"/>
  <c r="AB62" i="3"/>
  <c r="BJ91" i="3"/>
  <c r="AB56" i="3"/>
  <c r="AA69" i="3"/>
  <c r="BH104" i="3" s="1"/>
  <c r="AC51" i="3"/>
  <c r="BJ86" i="3" s="1"/>
  <c r="AD43" i="3"/>
  <c r="BK78" i="3" s="1"/>
  <c r="AC57" i="3"/>
  <c r="BJ92" i="3" s="1"/>
  <c r="AE25" i="1"/>
  <c r="W25" i="1"/>
  <c r="O25" i="1"/>
  <c r="K37" i="1"/>
  <c r="S37" i="1"/>
  <c r="AA37" i="1"/>
  <c r="AI37" i="1"/>
  <c r="O38" i="1"/>
  <c r="W38" i="1"/>
  <c r="AE38" i="1"/>
  <c r="AD25" i="1"/>
  <c r="P38" i="1"/>
  <c r="U25" i="1"/>
  <c r="M37" i="1"/>
  <c r="U37" i="1"/>
  <c r="AC37" i="1"/>
  <c r="I38" i="1"/>
  <c r="Q38" i="1"/>
  <c r="Y38" i="1"/>
  <c r="C14" i="1"/>
  <c r="C16" i="1"/>
  <c r="G27" i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F35" i="1"/>
  <c r="G38" i="1" s="1"/>
  <c r="L37" i="1"/>
  <c r="X38" i="1"/>
  <c r="T25" i="1"/>
  <c r="L25" i="1"/>
  <c r="N37" i="1"/>
  <c r="V37" i="1"/>
  <c r="AD37" i="1"/>
  <c r="J38" i="1"/>
  <c r="R38" i="1"/>
  <c r="Z38" i="1"/>
  <c r="AH38" i="1"/>
  <c r="H38" i="1"/>
  <c r="AC25" i="1"/>
  <c r="AI25" i="1"/>
  <c r="AA25" i="1"/>
  <c r="S25" i="1"/>
  <c r="K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O37" i="1"/>
  <c r="W37" i="1"/>
  <c r="AE37" i="1"/>
  <c r="K38" i="1"/>
  <c r="S38" i="1"/>
  <c r="AA38" i="1"/>
  <c r="AI38" i="1"/>
  <c r="AF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H25" i="1"/>
  <c r="R25" i="1"/>
  <c r="J25" i="1"/>
  <c r="H37" i="1"/>
  <c r="P37" i="1"/>
  <c r="X37" i="1"/>
  <c r="AF37" i="1"/>
  <c r="L38" i="1"/>
  <c r="T38" i="1"/>
  <c r="AB38" i="1"/>
  <c r="N25" i="1"/>
  <c r="T37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25" i="1"/>
  <c r="Z25" i="1"/>
  <c r="AG25" i="1"/>
  <c r="Y25" i="1"/>
  <c r="Q25" i="1"/>
  <c r="I25" i="1"/>
  <c r="I37" i="1"/>
  <c r="Q37" i="1"/>
  <c r="Y37" i="1"/>
  <c r="AG37" i="1"/>
  <c r="M38" i="1"/>
  <c r="U38" i="1"/>
  <c r="AC38" i="1"/>
  <c r="V25" i="1"/>
  <c r="AB37" i="1"/>
  <c r="M25" i="1"/>
  <c r="AF25" i="1"/>
  <c r="X25" i="1"/>
  <c r="P25" i="1"/>
  <c r="H25" i="1"/>
  <c r="J37" i="1"/>
  <c r="R37" i="1"/>
  <c r="Z37" i="1"/>
  <c r="AH37" i="1"/>
  <c r="N38" i="1"/>
  <c r="V38" i="1"/>
  <c r="AD38" i="1"/>
  <c r="EB101" i="3" l="1"/>
  <c r="EB100" i="3" s="1"/>
  <c r="EB99" i="3" s="1"/>
  <c r="EB98" i="3" s="1"/>
  <c r="EB97" i="3" s="1"/>
  <c r="EB96" i="3" s="1"/>
  <c r="EB95" i="3" s="1"/>
  <c r="EB94" i="3" s="1"/>
  <c r="BK81" i="3"/>
  <c r="AC46" i="3"/>
  <c r="EC93" i="3"/>
  <c r="EC92" i="3" s="1"/>
  <c r="EC91" i="3" s="1"/>
  <c r="EC90" i="3" s="1"/>
  <c r="EC89" i="3" s="1"/>
  <c r="EC88" i="3" s="1"/>
  <c r="EC87" i="3" s="1"/>
  <c r="EC86" i="3" s="1"/>
  <c r="EC85" i="3" s="1"/>
  <c r="EC84" i="3" s="1"/>
  <c r="EC83" i="3" s="1"/>
  <c r="EC82" i="3" s="1"/>
  <c r="EC81" i="3" s="1"/>
  <c r="EC80" i="3" s="1"/>
  <c r="EC79" i="3" s="1"/>
  <c r="EC78" i="3" s="1"/>
  <c r="EC77" i="3" s="1"/>
  <c r="EC76" i="3" s="1"/>
  <c r="EC75" i="3" s="1"/>
  <c r="AF74" i="3" s="1"/>
  <c r="AF75" i="3" s="1"/>
  <c r="AF76" i="3" s="1"/>
  <c r="AF77" i="3" s="1"/>
  <c r="AF78" i="3" s="1"/>
  <c r="AF79" i="3" s="1"/>
  <c r="AF80" i="3" s="1"/>
  <c r="AF81" i="3" s="1"/>
  <c r="AF82" i="3" s="1"/>
  <c r="AF83" i="3" s="1"/>
  <c r="AF84" i="3" s="1"/>
  <c r="AF85" i="3" s="1"/>
  <c r="AF86" i="3" s="1"/>
  <c r="AF87" i="3" s="1"/>
  <c r="AF88" i="3" s="1"/>
  <c r="AF89" i="3" s="1"/>
  <c r="AF90" i="3" s="1"/>
  <c r="AF91" i="3" s="1"/>
  <c r="AF92" i="3" s="1"/>
  <c r="AF93" i="3" s="1"/>
  <c r="AF94" i="3" s="1"/>
  <c r="AF95" i="3" s="1"/>
  <c r="AF96" i="3" s="1"/>
  <c r="AF97" i="3" s="1"/>
  <c r="AF98" i="3" s="1"/>
  <c r="AF99" i="3" s="1"/>
  <c r="AF100" i="3" s="1"/>
  <c r="AF101" i="3" s="1"/>
  <c r="AF102" i="3" s="1"/>
  <c r="AF103" i="3" s="1"/>
  <c r="AF104" i="3" s="1"/>
  <c r="BK83" i="3"/>
  <c r="AC48" i="3"/>
  <c r="AG74" i="3"/>
  <c r="AG75" i="3" s="1"/>
  <c r="AG76" i="3" s="1"/>
  <c r="AG77" i="3" s="1"/>
  <c r="AG78" i="3" s="1"/>
  <c r="AG79" i="3" s="1"/>
  <c r="AG80" i="3" s="1"/>
  <c r="AG81" i="3" s="1"/>
  <c r="AG82" i="3" s="1"/>
  <c r="AG83" i="3" s="1"/>
  <c r="AG84" i="3" s="1"/>
  <c r="AG85" i="3" s="1"/>
  <c r="AG86" i="3" s="1"/>
  <c r="AG87" i="3" s="1"/>
  <c r="AG88" i="3" s="1"/>
  <c r="AG89" i="3" s="1"/>
  <c r="AG90" i="3" s="1"/>
  <c r="AG91" i="3" s="1"/>
  <c r="AG92" i="3" s="1"/>
  <c r="AG93" i="3" s="1"/>
  <c r="AG94" i="3" s="1"/>
  <c r="AG95" i="3" s="1"/>
  <c r="AG96" i="3" s="1"/>
  <c r="AG97" i="3" s="1"/>
  <c r="AG98" i="3" s="1"/>
  <c r="AG99" i="3" s="1"/>
  <c r="AG100" i="3" s="1"/>
  <c r="AG101" i="3" s="1"/>
  <c r="AG102" i="3" s="1"/>
  <c r="AG103" i="3" s="1"/>
  <c r="AG104" i="3" s="1"/>
  <c r="BK101" i="3"/>
  <c r="AC66" i="3"/>
  <c r="BK95" i="3"/>
  <c r="AC60" i="3"/>
  <c r="BK80" i="3"/>
  <c r="AC45" i="3"/>
  <c r="BK77" i="3"/>
  <c r="AC42" i="3"/>
  <c r="BK99" i="3"/>
  <c r="AC64" i="3"/>
  <c r="BK100" i="3"/>
  <c r="AC65" i="3"/>
  <c r="BK103" i="3"/>
  <c r="EA103" i="3" s="1"/>
  <c r="EA102" i="3" s="1"/>
  <c r="AC68" i="3"/>
  <c r="BL93" i="3"/>
  <c r="AD58" i="3"/>
  <c r="BK89" i="3"/>
  <c r="AC54" i="3"/>
  <c r="BK84" i="3"/>
  <c r="AC49" i="3"/>
  <c r="BK98" i="3"/>
  <c r="AC63" i="3"/>
  <c r="BK76" i="3"/>
  <c r="AC41" i="3"/>
  <c r="BK75" i="3"/>
  <c r="AC40" i="3"/>
  <c r="AC47" i="3"/>
  <c r="BK82" i="3"/>
  <c r="AA52" i="3"/>
  <c r="BH87" i="3" s="1"/>
  <c r="AA67" i="3"/>
  <c r="BH102" i="3" s="1"/>
  <c r="AA50" i="3"/>
  <c r="BH85" i="3" s="1"/>
  <c r="Z55" i="3"/>
  <c r="BG90" i="3" s="1"/>
  <c r="BI96" i="3"/>
  <c r="AA61" i="3"/>
  <c r="AA59" i="3"/>
  <c r="BH94" i="3" s="1"/>
  <c r="AA39" i="3"/>
  <c r="BH74" i="3" s="1"/>
  <c r="BI88" i="3"/>
  <c r="AA53" i="3"/>
  <c r="BI91" i="3"/>
  <c r="AA56" i="3"/>
  <c r="BI97" i="3"/>
  <c r="AA62" i="3"/>
  <c r="BI79" i="3"/>
  <c r="AA44" i="3"/>
  <c r="AC43" i="3"/>
  <c r="BJ78" i="3" s="1"/>
  <c r="Z69" i="3"/>
  <c r="BG104" i="3" s="1"/>
  <c r="AB51" i="3"/>
  <c r="BI86" i="3" s="1"/>
  <c r="AB57" i="3"/>
  <c r="BI92" i="3" s="1"/>
  <c r="G18" i="1"/>
  <c r="F28" i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F26" i="1"/>
  <c r="G17" i="1"/>
  <c r="G37" i="1"/>
  <c r="EA101" i="3" l="1"/>
  <c r="EA100" i="3" s="1"/>
  <c r="EA99" i="3" s="1"/>
  <c r="EA98" i="3" s="1"/>
  <c r="EA97" i="3" s="1"/>
  <c r="EA96" i="3" s="1"/>
  <c r="EA95" i="3" s="1"/>
  <c r="EA94" i="3" s="1"/>
  <c r="BJ81" i="3"/>
  <c r="AB46" i="3"/>
  <c r="EC74" i="3"/>
  <c r="BJ83" i="3"/>
  <c r="AB48" i="3"/>
  <c r="BJ101" i="3"/>
  <c r="AB66" i="3"/>
  <c r="BJ89" i="3"/>
  <c r="AB54" i="3"/>
  <c r="BJ99" i="3"/>
  <c r="AB64" i="3"/>
  <c r="BJ76" i="3"/>
  <c r="AB41" i="3"/>
  <c r="BK93" i="3"/>
  <c r="AC58" i="3"/>
  <c r="BJ77" i="3"/>
  <c r="AB42" i="3"/>
  <c r="BJ98" i="3"/>
  <c r="AB63" i="3"/>
  <c r="BJ103" i="3"/>
  <c r="DZ103" i="3" s="1"/>
  <c r="DZ102" i="3" s="1"/>
  <c r="AB68" i="3"/>
  <c r="BJ80" i="3"/>
  <c r="AB45" i="3"/>
  <c r="BJ82" i="3"/>
  <c r="AB47" i="3"/>
  <c r="BJ84" i="3"/>
  <c r="AB49" i="3"/>
  <c r="BJ100" i="3"/>
  <c r="AB65" i="3"/>
  <c r="BJ95" i="3"/>
  <c r="AB60" i="3"/>
  <c r="BJ75" i="3"/>
  <c r="AB40" i="3"/>
  <c r="EB93" i="3"/>
  <c r="EB92" i="3" s="1"/>
  <c r="EB91" i="3" s="1"/>
  <c r="EB90" i="3" s="1"/>
  <c r="EB89" i="3" s="1"/>
  <c r="EB88" i="3" s="1"/>
  <c r="EB87" i="3" s="1"/>
  <c r="EB86" i="3" s="1"/>
  <c r="EB85" i="3" s="1"/>
  <c r="EB84" i="3" s="1"/>
  <c r="EB83" i="3" s="1"/>
  <c r="EB82" i="3" s="1"/>
  <c r="EB81" i="3" s="1"/>
  <c r="EB80" i="3" s="1"/>
  <c r="EB79" i="3" s="1"/>
  <c r="EB78" i="3" s="1"/>
  <c r="EB77" i="3" s="1"/>
  <c r="EB76" i="3" s="1"/>
  <c r="EB75" i="3" s="1"/>
  <c r="Z52" i="3"/>
  <c r="BG87" i="3" s="1"/>
  <c r="Z67" i="3"/>
  <c r="BG102" i="3" s="1"/>
  <c r="Z50" i="3"/>
  <c r="BG85" i="3" s="1"/>
  <c r="Y55" i="3"/>
  <c r="BF90" i="3" s="1"/>
  <c r="Z59" i="3"/>
  <c r="BG94" i="3" s="1"/>
  <c r="Z39" i="3"/>
  <c r="BG74" i="3" s="1"/>
  <c r="BH96" i="3"/>
  <c r="Z61" i="3"/>
  <c r="BH88" i="3"/>
  <c r="Z53" i="3"/>
  <c r="BH79" i="3"/>
  <c r="Z44" i="3"/>
  <c r="BH97" i="3"/>
  <c r="Z62" i="3"/>
  <c r="BH91" i="3"/>
  <c r="Z56" i="3"/>
  <c r="Y69" i="3"/>
  <c r="BF104" i="3" s="1"/>
  <c r="AA57" i="3"/>
  <c r="BH92" i="3" s="1"/>
  <c r="AA51" i="3"/>
  <c r="BH86" i="3" s="1"/>
  <c r="AB43" i="3"/>
  <c r="BI78" i="3" s="1"/>
  <c r="H18" i="1"/>
  <c r="H17" i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J28" i="1"/>
  <c r="AI24" i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EA93" i="3" l="1"/>
  <c r="EA92" i="3" s="1"/>
  <c r="EA91" i="3" s="1"/>
  <c r="EA90" i="3" s="1"/>
  <c r="EA89" i="3" s="1"/>
  <c r="EA88" i="3" s="1"/>
  <c r="EA87" i="3" s="1"/>
  <c r="EA86" i="3" s="1"/>
  <c r="EA85" i="3" s="1"/>
  <c r="EA84" i="3" s="1"/>
  <c r="EA83" i="3" s="1"/>
  <c r="EA82" i="3" s="1"/>
  <c r="EA81" i="3" s="1"/>
  <c r="EA80" i="3" s="1"/>
  <c r="EA79" i="3" s="1"/>
  <c r="EA78" i="3" s="1"/>
  <c r="EA77" i="3" s="1"/>
  <c r="EA76" i="3" s="1"/>
  <c r="EA75" i="3" s="1"/>
  <c r="EA74" i="3" s="1"/>
  <c r="BI81" i="3"/>
  <c r="AA46" i="3"/>
  <c r="BI83" i="3"/>
  <c r="AA48" i="3"/>
  <c r="DZ101" i="3"/>
  <c r="DZ100" i="3" s="1"/>
  <c r="DZ99" i="3" s="1"/>
  <c r="DZ98" i="3" s="1"/>
  <c r="DZ97" i="3" s="1"/>
  <c r="DZ96" i="3" s="1"/>
  <c r="DZ95" i="3" s="1"/>
  <c r="DZ94" i="3" s="1"/>
  <c r="BI101" i="3"/>
  <c r="AA66" i="3"/>
  <c r="BI80" i="3"/>
  <c r="AA45" i="3"/>
  <c r="BI100" i="3"/>
  <c r="AA65" i="3"/>
  <c r="BJ93" i="3"/>
  <c r="AB58" i="3"/>
  <c r="BI103" i="3"/>
  <c r="DY103" i="3" s="1"/>
  <c r="DY102" i="3" s="1"/>
  <c r="AA68" i="3"/>
  <c r="BI76" i="3"/>
  <c r="AA41" i="3"/>
  <c r="AE74" i="3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AE96" i="3" s="1"/>
  <c r="AE97" i="3" s="1"/>
  <c r="AE98" i="3" s="1"/>
  <c r="AE99" i="3" s="1"/>
  <c r="AE100" i="3" s="1"/>
  <c r="AE101" i="3" s="1"/>
  <c r="AE102" i="3" s="1"/>
  <c r="AE103" i="3" s="1"/>
  <c r="AE104" i="3" s="1"/>
  <c r="EB74" i="3"/>
  <c r="BI84" i="3"/>
  <c r="AA49" i="3"/>
  <c r="BI98" i="3"/>
  <c r="AA63" i="3"/>
  <c r="BI99" i="3"/>
  <c r="AA64" i="3"/>
  <c r="Y52" i="3"/>
  <c r="BF87" i="3" s="1"/>
  <c r="BI75" i="3"/>
  <c r="AA40" i="3"/>
  <c r="BI82" i="3"/>
  <c r="AA47" i="3"/>
  <c r="BI77" i="3"/>
  <c r="AA42" i="3"/>
  <c r="BI89" i="3"/>
  <c r="AA54" i="3"/>
  <c r="BI95" i="3"/>
  <c r="AA60" i="3"/>
  <c r="Y50" i="3"/>
  <c r="BF85" i="3" s="1"/>
  <c r="Y67" i="3"/>
  <c r="BF102" i="3" s="1"/>
  <c r="X55" i="3"/>
  <c r="BE90" i="3" s="1"/>
  <c r="Y39" i="3"/>
  <c r="BF74" i="3" s="1"/>
  <c r="Y59" i="3"/>
  <c r="BF94" i="3" s="1"/>
  <c r="BG96" i="3"/>
  <c r="Y61" i="3"/>
  <c r="BG88" i="3"/>
  <c r="Y53" i="3"/>
  <c r="BG97" i="3"/>
  <c r="Y62" i="3"/>
  <c r="BG79" i="3"/>
  <c r="Y44" i="3"/>
  <c r="BG91" i="3"/>
  <c r="Y56" i="3"/>
  <c r="Z51" i="3"/>
  <c r="BG86" i="3" s="1"/>
  <c r="X69" i="3"/>
  <c r="BE104" i="3" s="1"/>
  <c r="AA43" i="3"/>
  <c r="BH78" i="3" s="1"/>
  <c r="Z57" i="3"/>
  <c r="BG92" i="3" s="1"/>
  <c r="I18" i="1"/>
  <c r="J18" i="1" s="1"/>
  <c r="K18" i="1" s="1"/>
  <c r="AD74" i="3" l="1"/>
  <c r="AD75" i="3" s="1"/>
  <c r="AD76" i="3" s="1"/>
  <c r="AD77" i="3" s="1"/>
  <c r="AD78" i="3" s="1"/>
  <c r="AD79" i="3" s="1"/>
  <c r="AD80" i="3" s="1"/>
  <c r="AD81" i="3" s="1"/>
  <c r="AD82" i="3" s="1"/>
  <c r="AD83" i="3" s="1"/>
  <c r="AD84" i="3" s="1"/>
  <c r="AD85" i="3" s="1"/>
  <c r="AD86" i="3" s="1"/>
  <c r="AD87" i="3" s="1"/>
  <c r="AD88" i="3" s="1"/>
  <c r="AD89" i="3" s="1"/>
  <c r="AD90" i="3" s="1"/>
  <c r="AD91" i="3" s="1"/>
  <c r="AD92" i="3" s="1"/>
  <c r="AD93" i="3" s="1"/>
  <c r="AD94" i="3" s="1"/>
  <c r="AD95" i="3" s="1"/>
  <c r="AD96" i="3" s="1"/>
  <c r="AD97" i="3" s="1"/>
  <c r="AD98" i="3" s="1"/>
  <c r="AD99" i="3" s="1"/>
  <c r="AD100" i="3" s="1"/>
  <c r="AD101" i="3" s="1"/>
  <c r="AD102" i="3" s="1"/>
  <c r="AD103" i="3" s="1"/>
  <c r="AD104" i="3" s="1"/>
  <c r="DY101" i="3"/>
  <c r="DY100" i="3" s="1"/>
  <c r="DY99" i="3" s="1"/>
  <c r="DY98" i="3" s="1"/>
  <c r="DY97" i="3" s="1"/>
  <c r="DY96" i="3" s="1"/>
  <c r="DY95" i="3" s="1"/>
  <c r="DY94" i="3" s="1"/>
  <c r="BH81" i="3"/>
  <c r="Z46" i="3"/>
  <c r="BH83" i="3"/>
  <c r="Z48" i="3"/>
  <c r="BH101" i="3"/>
  <c r="Z66" i="3"/>
  <c r="BH95" i="3"/>
  <c r="Z60" i="3"/>
  <c r="BH75" i="3"/>
  <c r="Z40" i="3"/>
  <c r="BI93" i="3"/>
  <c r="AA58" i="3"/>
  <c r="BH84" i="3"/>
  <c r="Z49" i="3"/>
  <c r="BH100" i="3"/>
  <c r="Z65" i="3"/>
  <c r="X52" i="3"/>
  <c r="BE87" i="3" s="1"/>
  <c r="BH99" i="3"/>
  <c r="Z64" i="3"/>
  <c r="DZ93" i="3"/>
  <c r="DZ92" i="3" s="1"/>
  <c r="DZ91" i="3" s="1"/>
  <c r="DZ90" i="3" s="1"/>
  <c r="DZ89" i="3" s="1"/>
  <c r="DZ88" i="3" s="1"/>
  <c r="DZ87" i="3" s="1"/>
  <c r="DZ86" i="3" s="1"/>
  <c r="DZ85" i="3" s="1"/>
  <c r="DZ84" i="3" s="1"/>
  <c r="DZ83" i="3" s="1"/>
  <c r="DZ82" i="3" s="1"/>
  <c r="DZ81" i="3" s="1"/>
  <c r="DZ80" i="3" s="1"/>
  <c r="DZ79" i="3" s="1"/>
  <c r="DZ78" i="3" s="1"/>
  <c r="DZ77" i="3" s="1"/>
  <c r="DZ76" i="3" s="1"/>
  <c r="DZ75" i="3" s="1"/>
  <c r="BH89" i="3"/>
  <c r="Z54" i="3"/>
  <c r="BH77" i="3"/>
  <c r="Z42" i="3"/>
  <c r="BH76" i="3"/>
  <c r="Z41" i="3"/>
  <c r="BH98" i="3"/>
  <c r="Z63" i="3"/>
  <c r="BH80" i="3"/>
  <c r="Z45" i="3"/>
  <c r="Z47" i="3"/>
  <c r="BH82" i="3"/>
  <c r="BH103" i="3"/>
  <c r="DX103" i="3" s="1"/>
  <c r="DX102" i="3" s="1"/>
  <c r="Z68" i="3"/>
  <c r="X67" i="3"/>
  <c r="BE102" i="3" s="1"/>
  <c r="X50" i="3"/>
  <c r="BE85" i="3" s="1"/>
  <c r="X39" i="3"/>
  <c r="BE74" i="3" s="1"/>
  <c r="W55" i="3"/>
  <c r="BD90" i="3" s="1"/>
  <c r="X59" i="3"/>
  <c r="BE94" i="3" s="1"/>
  <c r="BF96" i="3"/>
  <c r="X61" i="3"/>
  <c r="BF88" i="3"/>
  <c r="X53" i="3"/>
  <c r="BF79" i="3"/>
  <c r="X44" i="3"/>
  <c r="BF97" i="3"/>
  <c r="X62" i="3"/>
  <c r="BF91" i="3"/>
  <c r="X56" i="3"/>
  <c r="Y57" i="3"/>
  <c r="BF92" i="3" s="1"/>
  <c r="W69" i="3"/>
  <c r="BD104" i="3" s="1"/>
  <c r="Z43" i="3"/>
  <c r="BG78" i="3" s="1"/>
  <c r="Y51" i="3"/>
  <c r="BF86" i="3" s="1"/>
  <c r="L18" i="1"/>
  <c r="BG81" i="3" l="1"/>
  <c r="Y46" i="3"/>
  <c r="DX101" i="3"/>
  <c r="DX100" i="3" s="1"/>
  <c r="DX99" i="3" s="1"/>
  <c r="DX98" i="3" s="1"/>
  <c r="DX97" i="3" s="1"/>
  <c r="DX96" i="3" s="1"/>
  <c r="DX95" i="3" s="1"/>
  <c r="DX94" i="3" s="1"/>
  <c r="BG83" i="3"/>
  <c r="Y48" i="3"/>
  <c r="DY93" i="3"/>
  <c r="DY92" i="3" s="1"/>
  <c r="DY91" i="3" s="1"/>
  <c r="DY90" i="3" s="1"/>
  <c r="DY89" i="3" s="1"/>
  <c r="DY88" i="3" s="1"/>
  <c r="DY87" i="3" s="1"/>
  <c r="DY86" i="3" s="1"/>
  <c r="DY85" i="3" s="1"/>
  <c r="DY84" i="3" s="1"/>
  <c r="DY83" i="3" s="1"/>
  <c r="DY82" i="3" s="1"/>
  <c r="DY81" i="3" s="1"/>
  <c r="DY80" i="3" s="1"/>
  <c r="DY79" i="3" s="1"/>
  <c r="DY78" i="3" s="1"/>
  <c r="DY77" i="3" s="1"/>
  <c r="DY76" i="3" s="1"/>
  <c r="DY75" i="3" s="1"/>
  <c r="AB74" i="3" s="1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AB94" i="3" s="1"/>
  <c r="AB95" i="3" s="1"/>
  <c r="AB96" i="3" s="1"/>
  <c r="AB97" i="3" s="1"/>
  <c r="AB98" i="3" s="1"/>
  <c r="AB99" i="3" s="1"/>
  <c r="AB100" i="3" s="1"/>
  <c r="AB101" i="3" s="1"/>
  <c r="AB102" i="3" s="1"/>
  <c r="AB103" i="3" s="1"/>
  <c r="AB104" i="3" s="1"/>
  <c r="W52" i="3"/>
  <c r="BD87" i="3" s="1"/>
  <c r="W50" i="3"/>
  <c r="BD85" i="3" s="1"/>
  <c r="BG101" i="3"/>
  <c r="Y66" i="3"/>
  <c r="DZ74" i="3"/>
  <c r="AC74" i="3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AC94" i="3" s="1"/>
  <c r="AC95" i="3" s="1"/>
  <c r="AC96" i="3" s="1"/>
  <c r="AC97" i="3" s="1"/>
  <c r="AC98" i="3" s="1"/>
  <c r="AC99" i="3" s="1"/>
  <c r="AC100" i="3" s="1"/>
  <c r="AC101" i="3" s="1"/>
  <c r="AC102" i="3" s="1"/>
  <c r="AC103" i="3" s="1"/>
  <c r="AC104" i="3" s="1"/>
  <c r="BH93" i="3"/>
  <c r="Z58" i="3"/>
  <c r="BG99" i="3"/>
  <c r="Y64" i="3"/>
  <c r="BG103" i="3"/>
  <c r="DW103" i="3" s="1"/>
  <c r="DW102" i="3" s="1"/>
  <c r="Y68" i="3"/>
  <c r="BG76" i="3"/>
  <c r="Y41" i="3"/>
  <c r="Y40" i="3"/>
  <c r="BG75" i="3"/>
  <c r="BG77" i="3"/>
  <c r="Y42" i="3"/>
  <c r="BG100" i="3"/>
  <c r="Y65" i="3"/>
  <c r="BG95" i="3"/>
  <c r="Y60" i="3"/>
  <c r="BG98" i="3"/>
  <c r="Y63" i="3"/>
  <c r="BG82" i="3"/>
  <c r="Y47" i="3"/>
  <c r="BG80" i="3"/>
  <c r="Y45" i="3"/>
  <c r="BG89" i="3"/>
  <c r="Y54" i="3"/>
  <c r="BG84" i="3"/>
  <c r="Y49" i="3"/>
  <c r="W67" i="3"/>
  <c r="BD102" i="3" s="1"/>
  <c r="W39" i="3"/>
  <c r="BD74" i="3" s="1"/>
  <c r="V55" i="3"/>
  <c r="BC90" i="3" s="1"/>
  <c r="W59" i="3"/>
  <c r="BD94" i="3" s="1"/>
  <c r="BE96" i="3"/>
  <c r="W61" i="3"/>
  <c r="BE88" i="3"/>
  <c r="W53" i="3"/>
  <c r="BE97" i="3"/>
  <c r="W62" i="3"/>
  <c r="BE79" i="3"/>
  <c r="W44" i="3"/>
  <c r="BE91" i="3"/>
  <c r="W56" i="3"/>
  <c r="V69" i="3"/>
  <c r="BC104" i="3" s="1"/>
  <c r="X51" i="3"/>
  <c r="BE86" i="3" s="1"/>
  <c r="Y43" i="3"/>
  <c r="BF78" i="3" s="1"/>
  <c r="X57" i="3"/>
  <c r="BE92" i="3" s="1"/>
  <c r="M18" i="1"/>
  <c r="DW101" i="3" l="1"/>
  <c r="DW100" i="3" s="1"/>
  <c r="DW99" i="3" s="1"/>
  <c r="DW98" i="3" s="1"/>
  <c r="DW97" i="3" s="1"/>
  <c r="DW96" i="3" s="1"/>
  <c r="DW95" i="3" s="1"/>
  <c r="DW94" i="3" s="1"/>
  <c r="DX93" i="3"/>
  <c r="DX92" i="3" s="1"/>
  <c r="DX91" i="3" s="1"/>
  <c r="DX90" i="3" s="1"/>
  <c r="DX89" i="3" s="1"/>
  <c r="DX88" i="3" s="1"/>
  <c r="DX87" i="3" s="1"/>
  <c r="DX86" i="3" s="1"/>
  <c r="DX85" i="3" s="1"/>
  <c r="DX84" i="3" s="1"/>
  <c r="DX83" i="3" s="1"/>
  <c r="DX82" i="3" s="1"/>
  <c r="DX81" i="3" s="1"/>
  <c r="DX80" i="3" s="1"/>
  <c r="DX79" i="3" s="1"/>
  <c r="DX78" i="3" s="1"/>
  <c r="DX77" i="3" s="1"/>
  <c r="DX76" i="3" s="1"/>
  <c r="DX75" i="3" s="1"/>
  <c r="DX74" i="3" s="1"/>
  <c r="BF81" i="3"/>
  <c r="X46" i="3"/>
  <c r="V52" i="3"/>
  <c r="BC87" i="3" s="1"/>
  <c r="V50" i="3"/>
  <c r="BC85" i="3" s="1"/>
  <c r="BF83" i="3"/>
  <c r="X48" i="3"/>
  <c r="DY74" i="3"/>
  <c r="BF101" i="3"/>
  <c r="X66" i="3"/>
  <c r="V39" i="3"/>
  <c r="BC74" i="3" s="1"/>
  <c r="BF98" i="3"/>
  <c r="X63" i="3"/>
  <c r="BG93" i="3"/>
  <c r="Y58" i="3"/>
  <c r="X47" i="3"/>
  <c r="BF82" i="3"/>
  <c r="BF89" i="3"/>
  <c r="X54" i="3"/>
  <c r="BF95" i="3"/>
  <c r="X60" i="3"/>
  <c r="X40" i="3"/>
  <c r="BF75" i="3"/>
  <c r="BF84" i="3"/>
  <c r="X49" i="3"/>
  <c r="BF76" i="3"/>
  <c r="X41" i="3"/>
  <c r="BF80" i="3"/>
  <c r="X45" i="3"/>
  <c r="BF100" i="3"/>
  <c r="X65" i="3"/>
  <c r="BF77" i="3"/>
  <c r="X42" i="3"/>
  <c r="V67" i="3"/>
  <c r="BC102" i="3" s="1"/>
  <c r="BF99" i="3"/>
  <c r="X64" i="3"/>
  <c r="BF103" i="3"/>
  <c r="DV103" i="3" s="1"/>
  <c r="DV102" i="3" s="1"/>
  <c r="X68" i="3"/>
  <c r="U55" i="3"/>
  <c r="BB90" i="3" s="1"/>
  <c r="V59" i="3"/>
  <c r="BC94" i="3" s="1"/>
  <c r="BD96" i="3"/>
  <c r="V61" i="3"/>
  <c r="BD88" i="3"/>
  <c r="V53" i="3"/>
  <c r="BD79" i="3"/>
  <c r="V44" i="3"/>
  <c r="BD97" i="3"/>
  <c r="V62" i="3"/>
  <c r="BD91" i="3"/>
  <c r="V56" i="3"/>
  <c r="X43" i="3"/>
  <c r="BE78" i="3" s="1"/>
  <c r="U69" i="3"/>
  <c r="BB104" i="3" s="1"/>
  <c r="W51" i="3"/>
  <c r="BD86" i="3" s="1"/>
  <c r="W57" i="3"/>
  <c r="BD92" i="3" s="1"/>
  <c r="N18" i="1"/>
  <c r="U39" i="3" l="1"/>
  <c r="BB74" i="3" s="1"/>
  <c r="U52" i="3"/>
  <c r="BB87" i="3" s="1"/>
  <c r="AA74" i="3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A98" i="3" s="1"/>
  <c r="AA99" i="3" s="1"/>
  <c r="AA100" i="3" s="1"/>
  <c r="AA101" i="3" s="1"/>
  <c r="AA102" i="3" s="1"/>
  <c r="AA103" i="3" s="1"/>
  <c r="AA104" i="3" s="1"/>
  <c r="BE81" i="3"/>
  <c r="W46" i="3"/>
  <c r="U50" i="3"/>
  <c r="BB85" i="3" s="1"/>
  <c r="DV101" i="3"/>
  <c r="DV100" i="3" s="1"/>
  <c r="DV99" i="3" s="1"/>
  <c r="DV98" i="3" s="1"/>
  <c r="DV97" i="3" s="1"/>
  <c r="DV96" i="3" s="1"/>
  <c r="DV95" i="3" s="1"/>
  <c r="DV94" i="3" s="1"/>
  <c r="BE83" i="3"/>
  <c r="W48" i="3"/>
  <c r="DW93" i="3"/>
  <c r="DW92" i="3" s="1"/>
  <c r="DW91" i="3" s="1"/>
  <c r="DW90" i="3" s="1"/>
  <c r="DW89" i="3" s="1"/>
  <c r="DW88" i="3" s="1"/>
  <c r="DW87" i="3" s="1"/>
  <c r="DW86" i="3" s="1"/>
  <c r="DW85" i="3" s="1"/>
  <c r="DW84" i="3" s="1"/>
  <c r="DW83" i="3" s="1"/>
  <c r="DW82" i="3" s="1"/>
  <c r="DW81" i="3" s="1"/>
  <c r="DW80" i="3" s="1"/>
  <c r="DW79" i="3" s="1"/>
  <c r="DW78" i="3" s="1"/>
  <c r="DW77" i="3" s="1"/>
  <c r="DW76" i="3" s="1"/>
  <c r="DW75" i="3" s="1"/>
  <c r="DW74" i="3" s="1"/>
  <c r="BE101" i="3"/>
  <c r="W66" i="3"/>
  <c r="BE100" i="3"/>
  <c r="W65" i="3"/>
  <c r="BE82" i="3"/>
  <c r="W47" i="3"/>
  <c r="U67" i="3"/>
  <c r="BB102" i="3" s="1"/>
  <c r="BE103" i="3"/>
  <c r="DU103" i="3" s="1"/>
  <c r="DU102" i="3" s="1"/>
  <c r="W68" i="3"/>
  <c r="W40" i="3"/>
  <c r="BE75" i="3"/>
  <c r="BF93" i="3"/>
  <c r="X58" i="3"/>
  <c r="BE80" i="3"/>
  <c r="W45" i="3"/>
  <c r="BE95" i="3"/>
  <c r="W60" i="3"/>
  <c r="BE77" i="3"/>
  <c r="W42" i="3"/>
  <c r="BE99" i="3"/>
  <c r="W64" i="3"/>
  <c r="BE98" i="3"/>
  <c r="W63" i="3"/>
  <c r="BE84" i="3"/>
  <c r="W49" i="3"/>
  <c r="BE76" i="3"/>
  <c r="W41" i="3"/>
  <c r="BE89" i="3"/>
  <c r="W54" i="3"/>
  <c r="T55" i="3"/>
  <c r="BA90" i="3" s="1"/>
  <c r="U59" i="3"/>
  <c r="BB94" i="3" s="1"/>
  <c r="BC96" i="3"/>
  <c r="U61" i="3"/>
  <c r="BC88" i="3"/>
  <c r="U53" i="3"/>
  <c r="BC79" i="3"/>
  <c r="U44" i="3"/>
  <c r="BC97" i="3"/>
  <c r="U62" i="3"/>
  <c r="BC91" i="3"/>
  <c r="U56" i="3"/>
  <c r="T69" i="3"/>
  <c r="BA104" i="3" s="1"/>
  <c r="V57" i="3"/>
  <c r="BC92" i="3" s="1"/>
  <c r="V51" i="3"/>
  <c r="BC86" i="3" s="1"/>
  <c r="W43" i="3"/>
  <c r="BD78" i="3" s="1"/>
  <c r="T52" i="3"/>
  <c r="BA87" i="3" s="1"/>
  <c r="T39" i="3"/>
  <c r="BA74" i="3" s="1"/>
  <c r="O18" i="1"/>
  <c r="P18" i="1" s="1"/>
  <c r="T50" i="3" l="1"/>
  <c r="BA85" i="3" s="1"/>
  <c r="DU101" i="3"/>
  <c r="DU100" i="3" s="1"/>
  <c r="DU99" i="3" s="1"/>
  <c r="DU98" i="3" s="1"/>
  <c r="DU97" i="3" s="1"/>
  <c r="DU96" i="3" s="1"/>
  <c r="DU95" i="3" s="1"/>
  <c r="DU94" i="3" s="1"/>
  <c r="BD81" i="3"/>
  <c r="V46" i="3"/>
  <c r="BD83" i="3"/>
  <c r="V48" i="3"/>
  <c r="DV93" i="3"/>
  <c r="DV92" i="3" s="1"/>
  <c r="DV91" i="3" s="1"/>
  <c r="DV90" i="3" s="1"/>
  <c r="DV89" i="3" s="1"/>
  <c r="DV88" i="3" s="1"/>
  <c r="DV87" i="3" s="1"/>
  <c r="DV86" i="3" s="1"/>
  <c r="DV85" i="3" s="1"/>
  <c r="DV84" i="3" s="1"/>
  <c r="DV83" i="3" s="1"/>
  <c r="DV82" i="3" s="1"/>
  <c r="DV81" i="3" s="1"/>
  <c r="DV80" i="3" s="1"/>
  <c r="DV79" i="3" s="1"/>
  <c r="DV78" i="3" s="1"/>
  <c r="DV77" i="3" s="1"/>
  <c r="DV76" i="3" s="1"/>
  <c r="DV75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Y103" i="3" s="1"/>
  <c r="Y104" i="3" s="1"/>
  <c r="Z74" i="3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Z98" i="3" s="1"/>
  <c r="Z99" i="3" s="1"/>
  <c r="Z100" i="3" s="1"/>
  <c r="Z101" i="3" s="1"/>
  <c r="Z102" i="3" s="1"/>
  <c r="Z103" i="3" s="1"/>
  <c r="Z104" i="3" s="1"/>
  <c r="T67" i="3"/>
  <c r="BA102" i="3" s="1"/>
  <c r="BD101" i="3"/>
  <c r="V66" i="3"/>
  <c r="BD80" i="3"/>
  <c r="V45" i="3"/>
  <c r="BD99" i="3"/>
  <c r="V64" i="3"/>
  <c r="BE93" i="3"/>
  <c r="W58" i="3"/>
  <c r="V47" i="3"/>
  <c r="BD82" i="3"/>
  <c r="BD76" i="3"/>
  <c r="V41" i="3"/>
  <c r="BD77" i="3"/>
  <c r="V42" i="3"/>
  <c r="BD103" i="3"/>
  <c r="DT103" i="3" s="1"/>
  <c r="DT102" i="3" s="1"/>
  <c r="V68" i="3"/>
  <c r="BD98" i="3"/>
  <c r="V63" i="3"/>
  <c r="BD100" i="3"/>
  <c r="V65" i="3"/>
  <c r="BD89" i="3"/>
  <c r="V54" i="3"/>
  <c r="BD84" i="3"/>
  <c r="V49" i="3"/>
  <c r="BD95" i="3"/>
  <c r="V60" i="3"/>
  <c r="BD75" i="3"/>
  <c r="V40" i="3"/>
  <c r="S55" i="3"/>
  <c r="AZ90" i="3" s="1"/>
  <c r="T59" i="3"/>
  <c r="BA94" i="3" s="1"/>
  <c r="BB96" i="3"/>
  <c r="T61" i="3"/>
  <c r="BB88" i="3"/>
  <c r="T53" i="3"/>
  <c r="BB97" i="3"/>
  <c r="T62" i="3"/>
  <c r="BB79" i="3"/>
  <c r="T44" i="3"/>
  <c r="BB91" i="3"/>
  <c r="T56" i="3"/>
  <c r="S52" i="3"/>
  <c r="AZ87" i="3" s="1"/>
  <c r="V43" i="3"/>
  <c r="BC78" i="3" s="1"/>
  <c r="U51" i="3"/>
  <c r="BB86" i="3" s="1"/>
  <c r="S69" i="3"/>
  <c r="AZ104" i="3" s="1"/>
  <c r="U57" i="3"/>
  <c r="BB92" i="3" s="1"/>
  <c r="S39" i="3"/>
  <c r="AZ74" i="3" s="1"/>
  <c r="Q18" i="1"/>
  <c r="S50" i="3" l="1"/>
  <c r="AZ85" i="3" s="1"/>
  <c r="BC81" i="3"/>
  <c r="U46" i="3"/>
  <c r="DT101" i="3"/>
  <c r="DT100" i="3" s="1"/>
  <c r="DT99" i="3" s="1"/>
  <c r="DT98" i="3" s="1"/>
  <c r="DT97" i="3" s="1"/>
  <c r="DT96" i="3" s="1"/>
  <c r="DT95" i="3" s="1"/>
  <c r="DT94" i="3" s="1"/>
  <c r="DV74" i="3"/>
  <c r="BC83" i="3"/>
  <c r="U48" i="3"/>
  <c r="S67" i="3"/>
  <c r="AZ102" i="3" s="1"/>
  <c r="BC101" i="3"/>
  <c r="U66" i="3"/>
  <c r="BC84" i="3"/>
  <c r="U49" i="3"/>
  <c r="BC82" i="3"/>
  <c r="U47" i="3"/>
  <c r="BC103" i="3"/>
  <c r="DS103" i="3" s="1"/>
  <c r="DS102" i="3" s="1"/>
  <c r="U68" i="3"/>
  <c r="BD93" i="3"/>
  <c r="V58" i="3"/>
  <c r="BC89" i="3"/>
  <c r="U54" i="3"/>
  <c r="BC77" i="3"/>
  <c r="U42" i="3"/>
  <c r="BC99" i="3"/>
  <c r="U64" i="3"/>
  <c r="U40" i="3"/>
  <c r="BC75" i="3"/>
  <c r="R55" i="3"/>
  <c r="AY90" i="3" s="1"/>
  <c r="BC100" i="3"/>
  <c r="U65" i="3"/>
  <c r="BC76" i="3"/>
  <c r="U41" i="3"/>
  <c r="BC80" i="3"/>
  <c r="U45" i="3"/>
  <c r="BC95" i="3"/>
  <c r="U60" i="3"/>
  <c r="BC98" i="3"/>
  <c r="U63" i="3"/>
  <c r="DU93" i="3"/>
  <c r="DU92" i="3" s="1"/>
  <c r="DU91" i="3" s="1"/>
  <c r="DU90" i="3" s="1"/>
  <c r="DU89" i="3" s="1"/>
  <c r="DU88" i="3" s="1"/>
  <c r="DU87" i="3" s="1"/>
  <c r="DU86" i="3" s="1"/>
  <c r="DU85" i="3" s="1"/>
  <c r="DU84" i="3" s="1"/>
  <c r="DU83" i="3" s="1"/>
  <c r="DU82" i="3" s="1"/>
  <c r="DU81" i="3" s="1"/>
  <c r="DU80" i="3" s="1"/>
  <c r="DU79" i="3" s="1"/>
  <c r="DU78" i="3" s="1"/>
  <c r="DU77" i="3" s="1"/>
  <c r="DU76" i="3" s="1"/>
  <c r="DU75" i="3" s="1"/>
  <c r="S59" i="3"/>
  <c r="AZ94" i="3" s="1"/>
  <c r="BA96" i="3"/>
  <c r="S61" i="3"/>
  <c r="BA88" i="3"/>
  <c r="S53" i="3"/>
  <c r="BA91" i="3"/>
  <c r="S56" i="3"/>
  <c r="BA79" i="3"/>
  <c r="S44" i="3"/>
  <c r="BA97" i="3"/>
  <c r="S62" i="3"/>
  <c r="T51" i="3"/>
  <c r="BA86" i="3" s="1"/>
  <c r="R69" i="3"/>
  <c r="AY104" i="3" s="1"/>
  <c r="T57" i="3"/>
  <c r="BA92" i="3" s="1"/>
  <c r="U43" i="3"/>
  <c r="BB78" i="3" s="1"/>
  <c r="R52" i="3"/>
  <c r="AY87" i="3" s="1"/>
  <c r="R50" i="3"/>
  <c r="AY85" i="3" s="1"/>
  <c r="R39" i="3"/>
  <c r="AY74" i="3" s="1"/>
  <c r="R18" i="1"/>
  <c r="BB81" i="3" l="1"/>
  <c r="T46" i="3"/>
  <c r="DS101" i="3"/>
  <c r="DS100" i="3" s="1"/>
  <c r="DS99" i="3" s="1"/>
  <c r="DS98" i="3" s="1"/>
  <c r="DS97" i="3" s="1"/>
  <c r="DS96" i="3" s="1"/>
  <c r="DS95" i="3" s="1"/>
  <c r="DS94" i="3" s="1"/>
  <c r="R67" i="3"/>
  <c r="AY102" i="3" s="1"/>
  <c r="BB83" i="3"/>
  <c r="T48" i="3"/>
  <c r="Q55" i="3"/>
  <c r="AX90" i="3" s="1"/>
  <c r="DT93" i="3"/>
  <c r="DT92" i="3" s="1"/>
  <c r="DT91" i="3" s="1"/>
  <c r="DT90" i="3" s="1"/>
  <c r="DT89" i="3" s="1"/>
  <c r="DT88" i="3" s="1"/>
  <c r="DT87" i="3" s="1"/>
  <c r="DT86" i="3" s="1"/>
  <c r="DT85" i="3" s="1"/>
  <c r="DT84" i="3" s="1"/>
  <c r="DT83" i="3" s="1"/>
  <c r="DT82" i="3" s="1"/>
  <c r="DT81" i="3" s="1"/>
  <c r="DT80" i="3" s="1"/>
  <c r="DT79" i="3" s="1"/>
  <c r="DT78" i="3" s="1"/>
  <c r="DT77" i="3" s="1"/>
  <c r="DT76" i="3" s="1"/>
  <c r="DT75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W98" i="3" s="1"/>
  <c r="W99" i="3" s="1"/>
  <c r="W100" i="3" s="1"/>
  <c r="W101" i="3" s="1"/>
  <c r="W102" i="3" s="1"/>
  <c r="W103" i="3" s="1"/>
  <c r="W104" i="3" s="1"/>
  <c r="BB101" i="3"/>
  <c r="T66" i="3"/>
  <c r="R59" i="3"/>
  <c r="AY94" i="3" s="1"/>
  <c r="T40" i="3"/>
  <c r="BB75" i="3"/>
  <c r="BB99" i="3"/>
  <c r="T64" i="3"/>
  <c r="BB76" i="3"/>
  <c r="T41" i="3"/>
  <c r="BB103" i="3"/>
  <c r="DR103" i="3" s="1"/>
  <c r="DR102" i="3" s="1"/>
  <c r="T68" i="3"/>
  <c r="BB80" i="3"/>
  <c r="T45" i="3"/>
  <c r="BC93" i="3"/>
  <c r="U58" i="3"/>
  <c r="BB77" i="3"/>
  <c r="T42" i="3"/>
  <c r="BB98" i="3"/>
  <c r="T63" i="3"/>
  <c r="BB100" i="3"/>
  <c r="T65" i="3"/>
  <c r="BB82" i="3"/>
  <c r="T47" i="3"/>
  <c r="BB89" i="3"/>
  <c r="T54" i="3"/>
  <c r="BB95" i="3"/>
  <c r="T60" i="3"/>
  <c r="BB84" i="3"/>
  <c r="T49" i="3"/>
  <c r="X74" i="3"/>
  <c r="X75" i="3" s="1"/>
  <c r="X76" i="3" s="1"/>
  <c r="X77" i="3" s="1"/>
  <c r="X78" i="3" s="1"/>
  <c r="X79" i="3" s="1"/>
  <c r="X80" i="3" s="1"/>
  <c r="X81" i="3" s="1"/>
  <c r="X82" i="3" s="1"/>
  <c r="X83" i="3" s="1"/>
  <c r="X84" i="3" s="1"/>
  <c r="X85" i="3" s="1"/>
  <c r="X86" i="3" s="1"/>
  <c r="X87" i="3" s="1"/>
  <c r="X88" i="3" s="1"/>
  <c r="X89" i="3" s="1"/>
  <c r="X90" i="3" s="1"/>
  <c r="X91" i="3" s="1"/>
  <c r="X92" i="3" s="1"/>
  <c r="X93" i="3" s="1"/>
  <c r="X94" i="3" s="1"/>
  <c r="X95" i="3" s="1"/>
  <c r="X96" i="3" s="1"/>
  <c r="X97" i="3" s="1"/>
  <c r="X98" i="3" s="1"/>
  <c r="X99" i="3" s="1"/>
  <c r="X100" i="3" s="1"/>
  <c r="X101" i="3" s="1"/>
  <c r="X102" i="3" s="1"/>
  <c r="X103" i="3" s="1"/>
  <c r="X104" i="3" s="1"/>
  <c r="DU74" i="3"/>
  <c r="AZ96" i="3"/>
  <c r="R61" i="3"/>
  <c r="AZ88" i="3"/>
  <c r="R53" i="3"/>
  <c r="AZ97" i="3"/>
  <c r="R62" i="3"/>
  <c r="AZ79" i="3"/>
  <c r="R44" i="3"/>
  <c r="AZ91" i="3"/>
  <c r="R56" i="3"/>
  <c r="S51" i="3"/>
  <c r="AZ86" i="3" s="1"/>
  <c r="Q52" i="3"/>
  <c r="AX87" i="3" s="1"/>
  <c r="Q69" i="3"/>
  <c r="AX104" i="3" s="1"/>
  <c r="T43" i="3"/>
  <c r="BA78" i="3" s="1"/>
  <c r="Q50" i="3"/>
  <c r="AX85" i="3" s="1"/>
  <c r="S57" i="3"/>
  <c r="AZ92" i="3" s="1"/>
  <c r="Q39" i="3"/>
  <c r="AX74" i="3" s="1"/>
  <c r="S18" i="1"/>
  <c r="Q67" i="3" l="1"/>
  <c r="AX102" i="3" s="1"/>
  <c r="DS93" i="3"/>
  <c r="DS92" i="3" s="1"/>
  <c r="DS91" i="3" s="1"/>
  <c r="DS90" i="3" s="1"/>
  <c r="DS89" i="3" s="1"/>
  <c r="DS88" i="3" s="1"/>
  <c r="DS87" i="3" s="1"/>
  <c r="DS86" i="3" s="1"/>
  <c r="DS85" i="3" s="1"/>
  <c r="DS84" i="3" s="1"/>
  <c r="DS83" i="3" s="1"/>
  <c r="DS82" i="3" s="1"/>
  <c r="DS81" i="3" s="1"/>
  <c r="DS80" i="3" s="1"/>
  <c r="DS79" i="3" s="1"/>
  <c r="DS78" i="3" s="1"/>
  <c r="DS77" i="3" s="1"/>
  <c r="DS76" i="3" s="1"/>
  <c r="DS75" i="3" s="1"/>
  <c r="V74" i="3" s="1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V94" i="3" s="1"/>
  <c r="V95" i="3" s="1"/>
  <c r="V96" i="3" s="1"/>
  <c r="V97" i="3" s="1"/>
  <c r="V98" i="3" s="1"/>
  <c r="V99" i="3" s="1"/>
  <c r="V100" i="3" s="1"/>
  <c r="V101" i="3" s="1"/>
  <c r="V102" i="3" s="1"/>
  <c r="V103" i="3" s="1"/>
  <c r="V104" i="3" s="1"/>
  <c r="P55" i="3"/>
  <c r="AW90" i="3" s="1"/>
  <c r="BA81" i="3"/>
  <c r="S46" i="3"/>
  <c r="Q59" i="3"/>
  <c r="AX94" i="3" s="1"/>
  <c r="BA83" i="3"/>
  <c r="S48" i="3"/>
  <c r="DR101" i="3"/>
  <c r="DR100" i="3" s="1"/>
  <c r="DR99" i="3" s="1"/>
  <c r="DR98" i="3" s="1"/>
  <c r="DR97" i="3" s="1"/>
  <c r="DR96" i="3" s="1"/>
  <c r="DR95" i="3" s="1"/>
  <c r="DR94" i="3" s="1"/>
  <c r="DT74" i="3"/>
  <c r="BA101" i="3"/>
  <c r="S66" i="3"/>
  <c r="BA76" i="3"/>
  <c r="S41" i="3"/>
  <c r="S47" i="3"/>
  <c r="BA82" i="3"/>
  <c r="BB93" i="3"/>
  <c r="T58" i="3"/>
  <c r="BA99" i="3"/>
  <c r="S64" i="3"/>
  <c r="BA89" i="3"/>
  <c r="S54" i="3"/>
  <c r="BA84" i="3"/>
  <c r="S49" i="3"/>
  <c r="BA100" i="3"/>
  <c r="S65" i="3"/>
  <c r="BA80" i="3"/>
  <c r="S45" i="3"/>
  <c r="BA95" i="3"/>
  <c r="S60" i="3"/>
  <c r="BA98" i="3"/>
  <c r="S63" i="3"/>
  <c r="BA75" i="3"/>
  <c r="S40" i="3"/>
  <c r="BA77" i="3"/>
  <c r="S42" i="3"/>
  <c r="BA103" i="3"/>
  <c r="DQ103" i="3" s="1"/>
  <c r="DQ102" i="3" s="1"/>
  <c r="S68" i="3"/>
  <c r="AY96" i="3"/>
  <c r="Q61" i="3"/>
  <c r="AY88" i="3"/>
  <c r="Q53" i="3"/>
  <c r="AY91" i="3"/>
  <c r="Q56" i="3"/>
  <c r="AY79" i="3"/>
  <c r="Q44" i="3"/>
  <c r="AY97" i="3"/>
  <c r="Q62" i="3"/>
  <c r="R57" i="3"/>
  <c r="AY92" i="3" s="1"/>
  <c r="S43" i="3"/>
  <c r="AZ78" i="3" s="1"/>
  <c r="R51" i="3"/>
  <c r="AY86" i="3" s="1"/>
  <c r="P52" i="3"/>
  <c r="AW87" i="3" s="1"/>
  <c r="P69" i="3"/>
  <c r="AW104" i="3" s="1"/>
  <c r="P50" i="3"/>
  <c r="AW85" i="3" s="1"/>
  <c r="P39" i="3"/>
  <c r="AW74" i="3" s="1"/>
  <c r="T18" i="1"/>
  <c r="P67" i="3" l="1"/>
  <c r="AW102" i="3" s="1"/>
  <c r="O55" i="3"/>
  <c r="AV90" i="3" s="1"/>
  <c r="P59" i="3"/>
  <c r="AW94" i="3" s="1"/>
  <c r="DS74" i="3"/>
  <c r="AZ81" i="3"/>
  <c r="R46" i="3"/>
  <c r="DQ101" i="3"/>
  <c r="DQ100" i="3" s="1"/>
  <c r="DQ99" i="3" s="1"/>
  <c r="DQ98" i="3" s="1"/>
  <c r="DQ97" i="3" s="1"/>
  <c r="DQ96" i="3" s="1"/>
  <c r="DQ95" i="3" s="1"/>
  <c r="DQ94" i="3" s="1"/>
  <c r="AZ83" i="3"/>
  <c r="R48" i="3"/>
  <c r="DR93" i="3"/>
  <c r="DR92" i="3" s="1"/>
  <c r="DR91" i="3" s="1"/>
  <c r="DR90" i="3" s="1"/>
  <c r="DR89" i="3" s="1"/>
  <c r="DR88" i="3" s="1"/>
  <c r="DR87" i="3" s="1"/>
  <c r="DR86" i="3" s="1"/>
  <c r="DR85" i="3" s="1"/>
  <c r="DR84" i="3" s="1"/>
  <c r="DR83" i="3" s="1"/>
  <c r="DR82" i="3" s="1"/>
  <c r="DR81" i="3" s="1"/>
  <c r="DR80" i="3" s="1"/>
  <c r="DR79" i="3" s="1"/>
  <c r="DR78" i="3" s="1"/>
  <c r="DR77" i="3" s="1"/>
  <c r="DR76" i="3" s="1"/>
  <c r="DR75" i="3" s="1"/>
  <c r="DR74" i="3" s="1"/>
  <c r="AZ101" i="3"/>
  <c r="R66" i="3"/>
  <c r="R40" i="3"/>
  <c r="AZ75" i="3"/>
  <c r="AZ100" i="3"/>
  <c r="R65" i="3"/>
  <c r="BA93" i="3"/>
  <c r="S58" i="3"/>
  <c r="AZ98" i="3"/>
  <c r="R63" i="3"/>
  <c r="AZ84" i="3"/>
  <c r="R49" i="3"/>
  <c r="AZ82" i="3"/>
  <c r="R47" i="3"/>
  <c r="AZ103" i="3"/>
  <c r="DP103" i="3" s="1"/>
  <c r="DP102" i="3" s="1"/>
  <c r="R68" i="3"/>
  <c r="AZ95" i="3"/>
  <c r="R60" i="3"/>
  <c r="AZ89" i="3"/>
  <c r="R54" i="3"/>
  <c r="AZ76" i="3"/>
  <c r="R41" i="3"/>
  <c r="AZ77" i="3"/>
  <c r="R42" i="3"/>
  <c r="AZ80" i="3"/>
  <c r="R45" i="3"/>
  <c r="AZ99" i="3"/>
  <c r="R64" i="3"/>
  <c r="AX96" i="3"/>
  <c r="P61" i="3"/>
  <c r="AX88" i="3"/>
  <c r="P53" i="3"/>
  <c r="AX97" i="3"/>
  <c r="P62" i="3"/>
  <c r="AX79" i="3"/>
  <c r="P44" i="3"/>
  <c r="AX91" i="3"/>
  <c r="P56" i="3"/>
  <c r="R43" i="3"/>
  <c r="AY78" i="3" s="1"/>
  <c r="O50" i="3"/>
  <c r="AV85" i="3" s="1"/>
  <c r="O69" i="3"/>
  <c r="AV104" i="3" s="1"/>
  <c r="Q57" i="3"/>
  <c r="AX92" i="3" s="1"/>
  <c r="O52" i="3"/>
  <c r="AV87" i="3" s="1"/>
  <c r="O67" i="3"/>
  <c r="AV102" i="3" s="1"/>
  <c r="Q51" i="3"/>
  <c r="AX86" i="3" s="1"/>
  <c r="O39" i="3"/>
  <c r="AV74" i="3" s="1"/>
  <c r="U18" i="1"/>
  <c r="N55" i="3" l="1"/>
  <c r="AU90" i="3" s="1"/>
  <c r="O59" i="3"/>
  <c r="AV94" i="3" s="1"/>
  <c r="DQ93" i="3"/>
  <c r="DQ92" i="3" s="1"/>
  <c r="DQ91" i="3" s="1"/>
  <c r="DQ90" i="3" s="1"/>
  <c r="DQ89" i="3" s="1"/>
  <c r="DQ88" i="3" s="1"/>
  <c r="DQ87" i="3" s="1"/>
  <c r="DQ86" i="3" s="1"/>
  <c r="DQ85" i="3" s="1"/>
  <c r="DQ84" i="3" s="1"/>
  <c r="DQ83" i="3" s="1"/>
  <c r="DQ82" i="3" s="1"/>
  <c r="DQ81" i="3" s="1"/>
  <c r="DQ80" i="3" s="1"/>
  <c r="DQ79" i="3" s="1"/>
  <c r="DQ78" i="3" s="1"/>
  <c r="DQ77" i="3" s="1"/>
  <c r="DQ76" i="3" s="1"/>
  <c r="DQ75" i="3" s="1"/>
  <c r="T74" i="3" s="1"/>
  <c r="T75" i="3" s="1"/>
  <c r="T76" i="3" s="1"/>
  <c r="T77" i="3" s="1"/>
  <c r="T78" i="3" s="1"/>
  <c r="T79" i="3" s="1"/>
  <c r="T80" i="3" s="1"/>
  <c r="T81" i="3" s="1"/>
  <c r="T82" i="3" s="1"/>
  <c r="T83" i="3" s="1"/>
  <c r="T84" i="3" s="1"/>
  <c r="T85" i="3" s="1"/>
  <c r="T86" i="3" s="1"/>
  <c r="T87" i="3" s="1"/>
  <c r="T88" i="3" s="1"/>
  <c r="T89" i="3" s="1"/>
  <c r="T90" i="3" s="1"/>
  <c r="T91" i="3" s="1"/>
  <c r="T92" i="3" s="1"/>
  <c r="T93" i="3" s="1"/>
  <c r="T94" i="3" s="1"/>
  <c r="T95" i="3" s="1"/>
  <c r="T96" i="3" s="1"/>
  <c r="T97" i="3" s="1"/>
  <c r="T98" i="3" s="1"/>
  <c r="T99" i="3" s="1"/>
  <c r="T100" i="3" s="1"/>
  <c r="T101" i="3" s="1"/>
  <c r="T102" i="3" s="1"/>
  <c r="T103" i="3" s="1"/>
  <c r="T104" i="3" s="1"/>
  <c r="AY81" i="3"/>
  <c r="Q46" i="3"/>
  <c r="DP101" i="3"/>
  <c r="DP100" i="3" s="1"/>
  <c r="DP99" i="3" s="1"/>
  <c r="DP98" i="3" s="1"/>
  <c r="DP97" i="3" s="1"/>
  <c r="DP96" i="3" s="1"/>
  <c r="DP95" i="3" s="1"/>
  <c r="DP94" i="3" s="1"/>
  <c r="AY83" i="3"/>
  <c r="Q48" i="3"/>
  <c r="U74" i="3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U103" i="3" s="1"/>
  <c r="U104" i="3" s="1"/>
  <c r="AY101" i="3"/>
  <c r="Q66" i="3"/>
  <c r="AY95" i="3"/>
  <c r="Q60" i="3"/>
  <c r="AY98" i="3"/>
  <c r="Q63" i="3"/>
  <c r="AY77" i="3"/>
  <c r="Q42" i="3"/>
  <c r="AY103" i="3"/>
  <c r="DO103" i="3" s="1"/>
  <c r="DO102" i="3" s="1"/>
  <c r="Q68" i="3"/>
  <c r="AZ93" i="3"/>
  <c r="R58" i="3"/>
  <c r="AY76" i="3"/>
  <c r="Q41" i="3"/>
  <c r="AY82" i="3"/>
  <c r="Q47" i="3"/>
  <c r="AY100" i="3"/>
  <c r="Q65" i="3"/>
  <c r="AY99" i="3"/>
  <c r="Q64" i="3"/>
  <c r="AY89" i="3"/>
  <c r="Q54" i="3"/>
  <c r="AY84" i="3"/>
  <c r="Q49" i="3"/>
  <c r="AY80" i="3"/>
  <c r="Q45" i="3"/>
  <c r="AY75" i="3"/>
  <c r="Q40" i="3"/>
  <c r="AW96" i="3"/>
  <c r="O61" i="3"/>
  <c r="AW88" i="3"/>
  <c r="O53" i="3"/>
  <c r="AW91" i="3"/>
  <c r="O56" i="3"/>
  <c r="AW79" i="3"/>
  <c r="O44" i="3"/>
  <c r="AW97" i="3"/>
  <c r="O62" i="3"/>
  <c r="P57" i="3"/>
  <c r="AW92" i="3" s="1"/>
  <c r="N50" i="3"/>
  <c r="AU85" i="3" s="1"/>
  <c r="N67" i="3"/>
  <c r="AU102" i="3" s="1"/>
  <c r="N69" i="3"/>
  <c r="AU104" i="3" s="1"/>
  <c r="M55" i="3"/>
  <c r="AT90" i="3" s="1"/>
  <c r="Q43" i="3"/>
  <c r="AX78" i="3" s="1"/>
  <c r="N52" i="3"/>
  <c r="AU87" i="3" s="1"/>
  <c r="P51" i="3"/>
  <c r="AW86" i="3" s="1"/>
  <c r="N39" i="3"/>
  <c r="AU74" i="3" s="1"/>
  <c r="V18" i="1"/>
  <c r="N59" i="3" l="1"/>
  <c r="AU94" i="3" s="1"/>
  <c r="DO101" i="3"/>
  <c r="DO100" i="3" s="1"/>
  <c r="DO99" i="3" s="1"/>
  <c r="DO98" i="3" s="1"/>
  <c r="DO97" i="3" s="1"/>
  <c r="DO96" i="3" s="1"/>
  <c r="DO95" i="3" s="1"/>
  <c r="DO94" i="3" s="1"/>
  <c r="DQ74" i="3"/>
  <c r="AX81" i="3"/>
  <c r="P46" i="3"/>
  <c r="DP93" i="3"/>
  <c r="DP92" i="3" s="1"/>
  <c r="DP91" i="3" s="1"/>
  <c r="DP90" i="3" s="1"/>
  <c r="DP89" i="3" s="1"/>
  <c r="DP88" i="3" s="1"/>
  <c r="DP87" i="3" s="1"/>
  <c r="DP86" i="3" s="1"/>
  <c r="DP85" i="3" s="1"/>
  <c r="DP84" i="3" s="1"/>
  <c r="DP83" i="3" s="1"/>
  <c r="DP82" i="3" s="1"/>
  <c r="DP81" i="3" s="1"/>
  <c r="DP80" i="3" s="1"/>
  <c r="DP79" i="3" s="1"/>
  <c r="DP78" i="3" s="1"/>
  <c r="DP77" i="3" s="1"/>
  <c r="DP76" i="3" s="1"/>
  <c r="DP75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S103" i="3" s="1"/>
  <c r="S104" i="3" s="1"/>
  <c r="AX83" i="3"/>
  <c r="P48" i="3"/>
  <c r="AX101" i="3"/>
  <c r="P66" i="3"/>
  <c r="AX84" i="3"/>
  <c r="P49" i="3"/>
  <c r="AX103" i="3"/>
  <c r="DN103" i="3" s="1"/>
  <c r="DN102" i="3" s="1"/>
  <c r="P68" i="3"/>
  <c r="AX89" i="3"/>
  <c r="P54" i="3"/>
  <c r="AX77" i="3"/>
  <c r="P42" i="3"/>
  <c r="AX76" i="3"/>
  <c r="P41" i="3"/>
  <c r="P40" i="3"/>
  <c r="AX75" i="3"/>
  <c r="AX98" i="3"/>
  <c r="P63" i="3"/>
  <c r="AX82" i="3"/>
  <c r="P47" i="3"/>
  <c r="AX80" i="3"/>
  <c r="P45" i="3"/>
  <c r="AY93" i="3"/>
  <c r="Q58" i="3"/>
  <c r="AX95" i="3"/>
  <c r="P60" i="3"/>
  <c r="AX99" i="3"/>
  <c r="P64" i="3"/>
  <c r="AX100" i="3"/>
  <c r="P65" i="3"/>
  <c r="AV96" i="3"/>
  <c r="N61" i="3"/>
  <c r="AV88" i="3"/>
  <c r="N53" i="3"/>
  <c r="AV97" i="3"/>
  <c r="N62" i="3"/>
  <c r="AV79" i="3"/>
  <c r="N44" i="3"/>
  <c r="AV91" i="3"/>
  <c r="N56" i="3"/>
  <c r="M69" i="3"/>
  <c r="AT104" i="3" s="1"/>
  <c r="L55" i="3"/>
  <c r="AS90" i="3" s="1"/>
  <c r="M67" i="3"/>
  <c r="AT102" i="3" s="1"/>
  <c r="P43" i="3"/>
  <c r="AW78" i="3" s="1"/>
  <c r="M50" i="3"/>
  <c r="AT85" i="3" s="1"/>
  <c r="O51" i="3"/>
  <c r="AV86" i="3" s="1"/>
  <c r="M52" i="3"/>
  <c r="AT87" i="3" s="1"/>
  <c r="O57" i="3"/>
  <c r="AV92" i="3" s="1"/>
  <c r="M39" i="3"/>
  <c r="AT74" i="3" s="1"/>
  <c r="W18" i="1"/>
  <c r="M59" i="3" l="1"/>
  <c r="AT94" i="3" s="1"/>
  <c r="AW81" i="3"/>
  <c r="O46" i="3"/>
  <c r="DN101" i="3"/>
  <c r="DN100" i="3" s="1"/>
  <c r="DN99" i="3" s="1"/>
  <c r="DN98" i="3" s="1"/>
  <c r="DN97" i="3" s="1"/>
  <c r="DN96" i="3" s="1"/>
  <c r="DN95" i="3" s="1"/>
  <c r="DN94" i="3" s="1"/>
  <c r="DP74" i="3"/>
  <c r="AW83" i="3"/>
  <c r="O48" i="3"/>
  <c r="DO93" i="3"/>
  <c r="DO92" i="3" s="1"/>
  <c r="DO91" i="3" s="1"/>
  <c r="DO90" i="3" s="1"/>
  <c r="DO89" i="3" s="1"/>
  <c r="DO88" i="3" s="1"/>
  <c r="DO87" i="3" s="1"/>
  <c r="DO86" i="3" s="1"/>
  <c r="DO85" i="3" s="1"/>
  <c r="DO84" i="3" s="1"/>
  <c r="DO83" i="3" s="1"/>
  <c r="DO82" i="3" s="1"/>
  <c r="DO81" i="3" s="1"/>
  <c r="DO80" i="3" s="1"/>
  <c r="DO79" i="3" s="1"/>
  <c r="DO78" i="3" s="1"/>
  <c r="DO77" i="3" s="1"/>
  <c r="DO76" i="3" s="1"/>
  <c r="DO75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R98" i="3" s="1"/>
  <c r="R99" i="3" s="1"/>
  <c r="R100" i="3" s="1"/>
  <c r="R101" i="3" s="1"/>
  <c r="R102" i="3" s="1"/>
  <c r="R103" i="3" s="1"/>
  <c r="R104" i="3" s="1"/>
  <c r="AW101" i="3"/>
  <c r="O66" i="3"/>
  <c r="AW98" i="3"/>
  <c r="O63" i="3"/>
  <c r="AW89" i="3"/>
  <c r="O54" i="3"/>
  <c r="AX93" i="3"/>
  <c r="P58" i="3"/>
  <c r="AW95" i="3"/>
  <c r="O60" i="3"/>
  <c r="AW100" i="3"/>
  <c r="O65" i="3"/>
  <c r="AW80" i="3"/>
  <c r="O45" i="3"/>
  <c r="AW75" i="3"/>
  <c r="O40" i="3"/>
  <c r="AW103" i="3"/>
  <c r="DM103" i="3" s="1"/>
  <c r="DM102" i="3" s="1"/>
  <c r="DM101" i="3" s="1"/>
  <c r="O68" i="3"/>
  <c r="AW76" i="3"/>
  <c r="O41" i="3"/>
  <c r="AW99" i="3"/>
  <c r="O64" i="3"/>
  <c r="AW84" i="3"/>
  <c r="O49" i="3"/>
  <c r="AW82" i="3"/>
  <c r="O47" i="3"/>
  <c r="AW77" i="3"/>
  <c r="O42" i="3"/>
  <c r="AU96" i="3"/>
  <c r="M61" i="3"/>
  <c r="AU88" i="3"/>
  <c r="M53" i="3"/>
  <c r="AU91" i="3"/>
  <c r="M56" i="3"/>
  <c r="AU79" i="3"/>
  <c r="M44" i="3"/>
  <c r="AU97" i="3"/>
  <c r="M62" i="3"/>
  <c r="N51" i="3"/>
  <c r="AU86" i="3" s="1"/>
  <c r="L67" i="3"/>
  <c r="AS102" i="3" s="1"/>
  <c r="L69" i="3"/>
  <c r="AS104" i="3" s="1"/>
  <c r="L50" i="3"/>
  <c r="AS85" i="3" s="1"/>
  <c r="K55" i="3"/>
  <c r="AR90" i="3" s="1"/>
  <c r="N57" i="3"/>
  <c r="AU92" i="3" s="1"/>
  <c r="O43" i="3"/>
  <c r="AV78" i="3" s="1"/>
  <c r="L52" i="3"/>
  <c r="AS87" i="3" s="1"/>
  <c r="L39" i="3"/>
  <c r="AS74" i="3" s="1"/>
  <c r="X18" i="1"/>
  <c r="L59" i="3" l="1"/>
  <c r="AS94" i="3" s="1"/>
  <c r="DN93" i="3"/>
  <c r="DN92" i="3" s="1"/>
  <c r="DN91" i="3" s="1"/>
  <c r="DN90" i="3" s="1"/>
  <c r="DN89" i="3" s="1"/>
  <c r="DN88" i="3" s="1"/>
  <c r="DN87" i="3" s="1"/>
  <c r="DN86" i="3" s="1"/>
  <c r="DN85" i="3" s="1"/>
  <c r="DN84" i="3" s="1"/>
  <c r="DN83" i="3" s="1"/>
  <c r="DN82" i="3" s="1"/>
  <c r="DN81" i="3" s="1"/>
  <c r="DN80" i="3" s="1"/>
  <c r="DN79" i="3" s="1"/>
  <c r="DN78" i="3" s="1"/>
  <c r="DN77" i="3" s="1"/>
  <c r="DN76" i="3" s="1"/>
  <c r="DN75" i="3" s="1"/>
  <c r="DN74" i="3" s="1"/>
  <c r="AV81" i="3"/>
  <c r="N46" i="3"/>
  <c r="AV83" i="3"/>
  <c r="N48" i="3"/>
  <c r="DO74" i="3"/>
  <c r="DM100" i="3"/>
  <c r="DM99" i="3" s="1"/>
  <c r="DM98" i="3" s="1"/>
  <c r="DM97" i="3" s="1"/>
  <c r="DM96" i="3" s="1"/>
  <c r="DM95" i="3" s="1"/>
  <c r="DM94" i="3" s="1"/>
  <c r="AV101" i="3"/>
  <c r="N66" i="3"/>
  <c r="AW93" i="3"/>
  <c r="O58" i="3"/>
  <c r="AV99" i="3"/>
  <c r="N64" i="3"/>
  <c r="AV84" i="3"/>
  <c r="N49" i="3"/>
  <c r="AV80" i="3"/>
  <c r="N45" i="3"/>
  <c r="AV89" i="3"/>
  <c r="N54" i="3"/>
  <c r="N40" i="3"/>
  <c r="AV75" i="3"/>
  <c r="AV76" i="3"/>
  <c r="N41" i="3"/>
  <c r="AV100" i="3"/>
  <c r="N65" i="3"/>
  <c r="AV98" i="3"/>
  <c r="N63" i="3"/>
  <c r="AV77" i="3"/>
  <c r="N42" i="3"/>
  <c r="AV82" i="3"/>
  <c r="N47" i="3"/>
  <c r="AV103" i="3"/>
  <c r="DL103" i="3" s="1"/>
  <c r="DL102" i="3" s="1"/>
  <c r="N68" i="3"/>
  <c r="AV95" i="3"/>
  <c r="N60" i="3"/>
  <c r="AT96" i="3"/>
  <c r="L61" i="3"/>
  <c r="AT88" i="3"/>
  <c r="L53" i="3"/>
  <c r="AT79" i="3"/>
  <c r="L44" i="3"/>
  <c r="AT91" i="3"/>
  <c r="L56" i="3"/>
  <c r="AT97" i="3"/>
  <c r="L62" i="3"/>
  <c r="K50" i="3"/>
  <c r="AR85" i="3" s="1"/>
  <c r="K67" i="3"/>
  <c r="AR102" i="3" s="1"/>
  <c r="K52" i="3"/>
  <c r="AR87" i="3" s="1"/>
  <c r="M51" i="3"/>
  <c r="AT86" i="3" s="1"/>
  <c r="K69" i="3"/>
  <c r="AR104" i="3" s="1"/>
  <c r="N43" i="3"/>
  <c r="AU78" i="3" s="1"/>
  <c r="J55" i="3"/>
  <c r="AQ90" i="3" s="1"/>
  <c r="M57" i="3"/>
  <c r="AT92" i="3" s="1"/>
  <c r="K39" i="3"/>
  <c r="AR74" i="3" s="1"/>
  <c r="Y18" i="1"/>
  <c r="K59" i="3" l="1"/>
  <c r="AR94" i="3" s="1"/>
  <c r="DL101" i="3"/>
  <c r="DL100" i="3" s="1"/>
  <c r="DL99" i="3" s="1"/>
  <c r="DL98" i="3" s="1"/>
  <c r="DL97" i="3" s="1"/>
  <c r="DL96" i="3" s="1"/>
  <c r="DL95" i="3" s="1"/>
  <c r="DL94" i="3" s="1"/>
  <c r="Q74" i="3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Q103" i="3" s="1"/>
  <c r="Q104" i="3" s="1"/>
  <c r="AU81" i="3"/>
  <c r="M46" i="3"/>
  <c r="AU83" i="3"/>
  <c r="M48" i="3"/>
  <c r="DM93" i="3"/>
  <c r="DM92" i="3" s="1"/>
  <c r="DM91" i="3" s="1"/>
  <c r="DM90" i="3" s="1"/>
  <c r="DM89" i="3" s="1"/>
  <c r="DM88" i="3" s="1"/>
  <c r="DM87" i="3" s="1"/>
  <c r="DM86" i="3" s="1"/>
  <c r="DM85" i="3" s="1"/>
  <c r="DM84" i="3" s="1"/>
  <c r="DM83" i="3" s="1"/>
  <c r="DM82" i="3" s="1"/>
  <c r="DM81" i="3" s="1"/>
  <c r="DM80" i="3" s="1"/>
  <c r="DM79" i="3" s="1"/>
  <c r="DM78" i="3" s="1"/>
  <c r="DM77" i="3" s="1"/>
  <c r="DM76" i="3" s="1"/>
  <c r="DM75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AU101" i="3"/>
  <c r="M66" i="3"/>
  <c r="AU82" i="3"/>
  <c r="M47" i="3"/>
  <c r="AU76" i="3"/>
  <c r="M41" i="3"/>
  <c r="AU84" i="3"/>
  <c r="M49" i="3"/>
  <c r="AU80" i="3"/>
  <c r="M45" i="3"/>
  <c r="AU77" i="3"/>
  <c r="M42" i="3"/>
  <c r="AU75" i="3"/>
  <c r="M40" i="3"/>
  <c r="AU99" i="3"/>
  <c r="M64" i="3"/>
  <c r="AU95" i="3"/>
  <c r="M60" i="3"/>
  <c r="AU89" i="3"/>
  <c r="M54" i="3"/>
  <c r="AV93" i="3"/>
  <c r="N58" i="3"/>
  <c r="AU98" i="3"/>
  <c r="M63" i="3"/>
  <c r="AU103" i="3"/>
  <c r="DK103" i="3" s="1"/>
  <c r="DK102" i="3" s="1"/>
  <c r="M68" i="3"/>
  <c r="AU100" i="3"/>
  <c r="M65" i="3"/>
  <c r="AS96" i="3"/>
  <c r="K61" i="3"/>
  <c r="AS88" i="3"/>
  <c r="K53" i="3"/>
  <c r="AS97" i="3"/>
  <c r="K62" i="3"/>
  <c r="AS91" i="3"/>
  <c r="K56" i="3"/>
  <c r="AS79" i="3"/>
  <c r="K44" i="3"/>
  <c r="J67" i="3"/>
  <c r="AQ102" i="3" s="1"/>
  <c r="J50" i="3"/>
  <c r="AQ85" i="3" s="1"/>
  <c r="J59" i="3"/>
  <c r="AQ94" i="3" s="1"/>
  <c r="L57" i="3"/>
  <c r="AS92" i="3" s="1"/>
  <c r="L51" i="3"/>
  <c r="AS86" i="3" s="1"/>
  <c r="M43" i="3"/>
  <c r="AT78" i="3" s="1"/>
  <c r="J52" i="3"/>
  <c r="AQ87" i="3" s="1"/>
  <c r="I55" i="3"/>
  <c r="AP90" i="3" s="1"/>
  <c r="J69" i="3"/>
  <c r="AQ104" i="3" s="1"/>
  <c r="J39" i="3"/>
  <c r="AQ74" i="3" s="1"/>
  <c r="Z18" i="1"/>
  <c r="DK101" i="3" l="1"/>
  <c r="DK100" i="3" s="1"/>
  <c r="DK99" i="3" s="1"/>
  <c r="DK98" i="3" s="1"/>
  <c r="DK97" i="3" s="1"/>
  <c r="DK96" i="3" s="1"/>
  <c r="DK95" i="3" s="1"/>
  <c r="DK94" i="3" s="1"/>
  <c r="AT81" i="3"/>
  <c r="L46" i="3"/>
  <c r="AT83" i="3"/>
  <c r="L48" i="3"/>
  <c r="DL93" i="3"/>
  <c r="DL92" i="3" s="1"/>
  <c r="DL91" i="3" s="1"/>
  <c r="DL90" i="3" s="1"/>
  <c r="DL89" i="3" s="1"/>
  <c r="DL88" i="3" s="1"/>
  <c r="DL87" i="3" s="1"/>
  <c r="DL86" i="3" s="1"/>
  <c r="DL85" i="3" s="1"/>
  <c r="DL84" i="3" s="1"/>
  <c r="DL83" i="3" s="1"/>
  <c r="DL82" i="3" s="1"/>
  <c r="DL81" i="3" s="1"/>
  <c r="DL80" i="3" s="1"/>
  <c r="DL79" i="3" s="1"/>
  <c r="DL78" i="3" s="1"/>
  <c r="DL77" i="3" s="1"/>
  <c r="DL76" i="3" s="1"/>
  <c r="DL75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03" i="3" s="1"/>
  <c r="O104" i="3" s="1"/>
  <c r="DM74" i="3"/>
  <c r="AT101" i="3"/>
  <c r="L66" i="3"/>
  <c r="AT99" i="3"/>
  <c r="L64" i="3"/>
  <c r="AT84" i="3"/>
  <c r="L49" i="3"/>
  <c r="AU93" i="3"/>
  <c r="M58" i="3"/>
  <c r="AT98" i="3"/>
  <c r="L63" i="3"/>
  <c r="AT100" i="3"/>
  <c r="L65" i="3"/>
  <c r="L40" i="3"/>
  <c r="AT75" i="3"/>
  <c r="AT76" i="3"/>
  <c r="L41" i="3"/>
  <c r="AT89" i="3"/>
  <c r="L54" i="3"/>
  <c r="AT103" i="3"/>
  <c r="DJ103" i="3" s="1"/>
  <c r="DJ102" i="3" s="1"/>
  <c r="L68" i="3"/>
  <c r="AT77" i="3"/>
  <c r="L42" i="3"/>
  <c r="AT82" i="3"/>
  <c r="L47" i="3"/>
  <c r="AT80" i="3"/>
  <c r="L45" i="3"/>
  <c r="AT95" i="3"/>
  <c r="L60" i="3"/>
  <c r="AR96" i="3"/>
  <c r="J61" i="3"/>
  <c r="AR88" i="3"/>
  <c r="J53" i="3"/>
  <c r="AR79" i="3"/>
  <c r="J44" i="3"/>
  <c r="AR91" i="3"/>
  <c r="J56" i="3"/>
  <c r="AR97" i="3"/>
  <c r="J62" i="3"/>
  <c r="I59" i="3"/>
  <c r="AP94" i="3" s="1"/>
  <c r="I50" i="3"/>
  <c r="AP85" i="3" s="1"/>
  <c r="I69" i="3"/>
  <c r="AP104" i="3" s="1"/>
  <c r="L43" i="3"/>
  <c r="AS78" i="3" s="1"/>
  <c r="H55" i="3"/>
  <c r="AO90" i="3" s="1"/>
  <c r="K51" i="3"/>
  <c r="AR86" i="3" s="1"/>
  <c r="I67" i="3"/>
  <c r="AP102" i="3" s="1"/>
  <c r="I52" i="3"/>
  <c r="AP87" i="3" s="1"/>
  <c r="K57" i="3"/>
  <c r="AR92" i="3" s="1"/>
  <c r="I39" i="3"/>
  <c r="AP74" i="3" s="1"/>
  <c r="AA18" i="1"/>
  <c r="DJ101" i="3" l="1"/>
  <c r="DJ100" i="3" s="1"/>
  <c r="DJ99" i="3" s="1"/>
  <c r="DJ98" i="3" s="1"/>
  <c r="DJ97" i="3" s="1"/>
  <c r="DJ96" i="3" s="1"/>
  <c r="DJ95" i="3" s="1"/>
  <c r="DJ94" i="3" s="1"/>
  <c r="AS81" i="3"/>
  <c r="K46" i="3"/>
  <c r="DL74" i="3"/>
  <c r="AS83" i="3"/>
  <c r="K48" i="3"/>
  <c r="DK93" i="3"/>
  <c r="DK92" i="3" s="1"/>
  <c r="DK91" i="3" s="1"/>
  <c r="DK90" i="3" s="1"/>
  <c r="DK89" i="3" s="1"/>
  <c r="DK88" i="3" s="1"/>
  <c r="DK87" i="3" s="1"/>
  <c r="DK86" i="3" s="1"/>
  <c r="DK85" i="3" s="1"/>
  <c r="DK84" i="3" s="1"/>
  <c r="DK83" i="3" s="1"/>
  <c r="DK82" i="3" s="1"/>
  <c r="DK81" i="3" s="1"/>
  <c r="DK80" i="3" s="1"/>
  <c r="DK79" i="3" s="1"/>
  <c r="DK78" i="3" s="1"/>
  <c r="DK77" i="3" s="1"/>
  <c r="DK76" i="3" s="1"/>
  <c r="DK75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AS101" i="3"/>
  <c r="K66" i="3"/>
  <c r="AS80" i="3"/>
  <c r="K45" i="3"/>
  <c r="AS82" i="3"/>
  <c r="K47" i="3"/>
  <c r="AS76" i="3"/>
  <c r="K41" i="3"/>
  <c r="AT93" i="3"/>
  <c r="L58" i="3"/>
  <c r="AS98" i="3"/>
  <c r="K63" i="3"/>
  <c r="AS95" i="3"/>
  <c r="K60" i="3"/>
  <c r="AS77" i="3"/>
  <c r="K42" i="3"/>
  <c r="AS84" i="3"/>
  <c r="K49" i="3"/>
  <c r="AS89" i="3"/>
  <c r="K54" i="3"/>
  <c r="AS75" i="3"/>
  <c r="K40" i="3"/>
  <c r="AS103" i="3"/>
  <c r="DI103" i="3" s="1"/>
  <c r="DI102" i="3" s="1"/>
  <c r="K68" i="3"/>
  <c r="AS100" i="3"/>
  <c r="K65" i="3"/>
  <c r="AS99" i="3"/>
  <c r="K64" i="3"/>
  <c r="AQ96" i="3"/>
  <c r="I61" i="3"/>
  <c r="AQ88" i="3"/>
  <c r="I53" i="3"/>
  <c r="AQ91" i="3"/>
  <c r="I56" i="3"/>
  <c r="AQ79" i="3"/>
  <c r="I44" i="3"/>
  <c r="AQ97" i="3"/>
  <c r="I62" i="3"/>
  <c r="H39" i="3"/>
  <c r="AO74" i="3" s="1"/>
  <c r="J57" i="3"/>
  <c r="AQ92" i="3" s="1"/>
  <c r="H69" i="3"/>
  <c r="AO104" i="3" s="1"/>
  <c r="J51" i="3"/>
  <c r="AQ86" i="3" s="1"/>
  <c r="H52" i="3"/>
  <c r="AO87" i="3" s="1"/>
  <c r="H67" i="3"/>
  <c r="AO102" i="3" s="1"/>
  <c r="K43" i="3"/>
  <c r="AR78" i="3" s="1"/>
  <c r="H50" i="3"/>
  <c r="AO85" i="3" s="1"/>
  <c r="H59" i="3"/>
  <c r="AO94" i="3" s="1"/>
  <c r="AB18" i="1"/>
  <c r="AR81" i="3" l="1"/>
  <c r="J46" i="3"/>
  <c r="DI101" i="3"/>
  <c r="DI100" i="3" s="1"/>
  <c r="DI99" i="3" s="1"/>
  <c r="DI98" i="3" s="1"/>
  <c r="DI97" i="3" s="1"/>
  <c r="DI96" i="3" s="1"/>
  <c r="DI95" i="3" s="1"/>
  <c r="DI94" i="3" s="1"/>
  <c r="AR83" i="3"/>
  <c r="J48" i="3"/>
  <c r="DJ93" i="3"/>
  <c r="DJ92" i="3" s="1"/>
  <c r="DJ91" i="3" s="1"/>
  <c r="DJ90" i="3" s="1"/>
  <c r="DJ89" i="3" s="1"/>
  <c r="DJ88" i="3" s="1"/>
  <c r="DJ87" i="3" s="1"/>
  <c r="DJ86" i="3" s="1"/>
  <c r="DJ85" i="3" s="1"/>
  <c r="DJ84" i="3" s="1"/>
  <c r="DJ83" i="3" s="1"/>
  <c r="DJ82" i="3" s="1"/>
  <c r="DJ81" i="3" s="1"/>
  <c r="DJ80" i="3" s="1"/>
  <c r="DJ79" i="3" s="1"/>
  <c r="DJ78" i="3" s="1"/>
  <c r="DJ77" i="3" s="1"/>
  <c r="DJ76" i="3" s="1"/>
  <c r="DJ75" i="3" s="1"/>
  <c r="DJ74" i="3" s="1"/>
  <c r="DK74" i="3"/>
  <c r="AR101" i="3"/>
  <c r="J66" i="3"/>
  <c r="AR103" i="3"/>
  <c r="DH103" i="3" s="1"/>
  <c r="DH102" i="3" s="1"/>
  <c r="J68" i="3"/>
  <c r="AS93" i="3"/>
  <c r="K58" i="3"/>
  <c r="AR77" i="3"/>
  <c r="J42" i="3"/>
  <c r="AR76" i="3"/>
  <c r="J41" i="3"/>
  <c r="AR75" i="3"/>
  <c r="J40" i="3"/>
  <c r="AR95" i="3"/>
  <c r="J60" i="3"/>
  <c r="AR82" i="3"/>
  <c r="J47" i="3"/>
  <c r="AR99" i="3"/>
  <c r="J64" i="3"/>
  <c r="AR89" i="3"/>
  <c r="J54" i="3"/>
  <c r="AR98" i="3"/>
  <c r="J63" i="3"/>
  <c r="AR80" i="3"/>
  <c r="J45" i="3"/>
  <c r="AR84" i="3"/>
  <c r="J49" i="3"/>
  <c r="AR100" i="3"/>
  <c r="J65" i="3"/>
  <c r="AP96" i="3"/>
  <c r="H61" i="3"/>
  <c r="AO96" i="3" s="1"/>
  <c r="AP88" i="3"/>
  <c r="H53" i="3"/>
  <c r="AO88" i="3" s="1"/>
  <c r="AP79" i="3"/>
  <c r="H44" i="3"/>
  <c r="AO79" i="3" s="1"/>
  <c r="AP97" i="3"/>
  <c r="H62" i="3"/>
  <c r="AO97" i="3" s="1"/>
  <c r="AP91" i="3"/>
  <c r="H56" i="3"/>
  <c r="AO91" i="3" s="1"/>
  <c r="I57" i="3"/>
  <c r="AP92" i="3" s="1"/>
  <c r="J43" i="3"/>
  <c r="AQ78" i="3" s="1"/>
  <c r="I51" i="3"/>
  <c r="AP86" i="3" s="1"/>
  <c r="AC18" i="1"/>
  <c r="DI93" i="3" l="1"/>
  <c r="DI92" i="3" s="1"/>
  <c r="DI91" i="3" s="1"/>
  <c r="DI90" i="3" s="1"/>
  <c r="DI89" i="3" s="1"/>
  <c r="DI88" i="3" s="1"/>
  <c r="DI87" i="3" s="1"/>
  <c r="DI86" i="3" s="1"/>
  <c r="DI85" i="3" s="1"/>
  <c r="DI84" i="3" s="1"/>
  <c r="DI83" i="3" s="1"/>
  <c r="DI82" i="3" s="1"/>
  <c r="DI81" i="3" s="1"/>
  <c r="DI80" i="3" s="1"/>
  <c r="DI79" i="3" s="1"/>
  <c r="DI78" i="3" s="1"/>
  <c r="DI77" i="3" s="1"/>
  <c r="DI76" i="3" s="1"/>
  <c r="DI75" i="3" s="1"/>
  <c r="DI74" i="3" s="1"/>
  <c r="DH101" i="3"/>
  <c r="DH100" i="3" s="1"/>
  <c r="DH99" i="3" s="1"/>
  <c r="DH98" i="3" s="1"/>
  <c r="DH97" i="3" s="1"/>
  <c r="DH96" i="3" s="1"/>
  <c r="DH95" i="3" s="1"/>
  <c r="DH94" i="3" s="1"/>
  <c r="AQ81" i="3"/>
  <c r="I46" i="3"/>
  <c r="AQ83" i="3"/>
  <c r="I48" i="3"/>
  <c r="M74" i="3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AQ101" i="3"/>
  <c r="I66" i="3"/>
  <c r="AQ80" i="3"/>
  <c r="I45" i="3"/>
  <c r="I47" i="3"/>
  <c r="AQ82" i="3"/>
  <c r="AQ77" i="3"/>
  <c r="I42" i="3"/>
  <c r="AQ98" i="3"/>
  <c r="I63" i="3"/>
  <c r="AQ95" i="3"/>
  <c r="I60" i="3"/>
  <c r="AQ100" i="3"/>
  <c r="I65" i="3"/>
  <c r="AQ89" i="3"/>
  <c r="I54" i="3"/>
  <c r="AR93" i="3"/>
  <c r="J58" i="3"/>
  <c r="I40" i="3"/>
  <c r="AQ75" i="3"/>
  <c r="AQ103" i="3"/>
  <c r="DG103" i="3" s="1"/>
  <c r="DG102" i="3" s="1"/>
  <c r="I68" i="3"/>
  <c r="AQ84" i="3"/>
  <c r="I49" i="3"/>
  <c r="AQ99" i="3"/>
  <c r="I64" i="3"/>
  <c r="AQ76" i="3"/>
  <c r="I41" i="3"/>
  <c r="H51" i="3"/>
  <c r="AO86" i="3" s="1"/>
  <c r="H57" i="3"/>
  <c r="AO92" i="3" s="1"/>
  <c r="I43" i="3"/>
  <c r="AP78" i="3" s="1"/>
  <c r="AD18" i="1"/>
  <c r="L74" i="3" l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L103" i="3" s="1"/>
  <c r="L104" i="3" s="1"/>
  <c r="AP81" i="3"/>
  <c r="H46" i="3"/>
  <c r="AO81" i="3" s="1"/>
  <c r="DH93" i="3"/>
  <c r="DH92" i="3" s="1"/>
  <c r="DH91" i="3" s="1"/>
  <c r="DH90" i="3" s="1"/>
  <c r="DH89" i="3" s="1"/>
  <c r="DH88" i="3" s="1"/>
  <c r="DH87" i="3" s="1"/>
  <c r="DH86" i="3" s="1"/>
  <c r="DH85" i="3" s="1"/>
  <c r="DH84" i="3" s="1"/>
  <c r="DH83" i="3" s="1"/>
  <c r="DH82" i="3" s="1"/>
  <c r="DH81" i="3" s="1"/>
  <c r="DH80" i="3" s="1"/>
  <c r="DH79" i="3" s="1"/>
  <c r="DH78" i="3" s="1"/>
  <c r="DH77" i="3" s="1"/>
  <c r="DH76" i="3" s="1"/>
  <c r="DH75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03" i="3" s="1"/>
  <c r="K104" i="3" s="1"/>
  <c r="AP83" i="3"/>
  <c r="H48" i="3"/>
  <c r="AO83" i="3" s="1"/>
  <c r="DG101" i="3"/>
  <c r="DG100" i="3" s="1"/>
  <c r="DG99" i="3" s="1"/>
  <c r="DG98" i="3" s="1"/>
  <c r="DG97" i="3" s="1"/>
  <c r="DG96" i="3" s="1"/>
  <c r="DG95" i="3" s="1"/>
  <c r="DG94" i="3" s="1"/>
  <c r="AP101" i="3"/>
  <c r="H66" i="3"/>
  <c r="AO101" i="3" s="1"/>
  <c r="AQ93" i="3"/>
  <c r="I58" i="3"/>
  <c r="AP84" i="3"/>
  <c r="H49" i="3"/>
  <c r="AO84" i="3" s="1"/>
  <c r="AP89" i="3"/>
  <c r="H54" i="3"/>
  <c r="AO89" i="3" s="1"/>
  <c r="AP77" i="3"/>
  <c r="H42" i="3"/>
  <c r="AO77" i="3" s="1"/>
  <c r="AP98" i="3"/>
  <c r="H63" i="3"/>
  <c r="AO98" i="3" s="1"/>
  <c r="AP103" i="3"/>
  <c r="DF103" i="3" s="1"/>
  <c r="DF102" i="3" s="1"/>
  <c r="H68" i="3"/>
  <c r="AO103" i="3" s="1"/>
  <c r="DE103" i="3" s="1"/>
  <c r="DE102" i="3" s="1"/>
  <c r="AP100" i="3"/>
  <c r="H65" i="3"/>
  <c r="AO100" i="3" s="1"/>
  <c r="AP82" i="3"/>
  <c r="H47" i="3"/>
  <c r="AO82" i="3" s="1"/>
  <c r="AP99" i="3"/>
  <c r="H64" i="3"/>
  <c r="AO99" i="3" s="1"/>
  <c r="AP76" i="3"/>
  <c r="H41" i="3"/>
  <c r="AO76" i="3" s="1"/>
  <c r="AP95" i="3"/>
  <c r="H60" i="3"/>
  <c r="AO95" i="3" s="1"/>
  <c r="AP80" i="3"/>
  <c r="H45" i="3"/>
  <c r="AO80" i="3" s="1"/>
  <c r="AP75" i="3"/>
  <c r="H40" i="3"/>
  <c r="AO75" i="3" s="1"/>
  <c r="H43" i="3"/>
  <c r="AO78" i="3" s="1"/>
  <c r="AE18" i="1"/>
  <c r="DG93" i="3" l="1"/>
  <c r="DG92" i="3" s="1"/>
  <c r="DG91" i="3" s="1"/>
  <c r="DG90" i="3" s="1"/>
  <c r="DG89" i="3" s="1"/>
  <c r="DG88" i="3" s="1"/>
  <c r="DG87" i="3" s="1"/>
  <c r="DG86" i="3" s="1"/>
  <c r="DG85" i="3" s="1"/>
  <c r="DG84" i="3" s="1"/>
  <c r="DG83" i="3" s="1"/>
  <c r="DG82" i="3" s="1"/>
  <c r="DG81" i="3" s="1"/>
  <c r="DG80" i="3" s="1"/>
  <c r="DG79" i="3" s="1"/>
  <c r="DG78" i="3" s="1"/>
  <c r="DG77" i="3" s="1"/>
  <c r="DG76" i="3" s="1"/>
  <c r="DG75" i="3" s="1"/>
  <c r="DG74" i="3" s="1"/>
  <c r="DF101" i="3"/>
  <c r="DF100" i="3" s="1"/>
  <c r="DF99" i="3" s="1"/>
  <c r="DF98" i="3" s="1"/>
  <c r="DF97" i="3" s="1"/>
  <c r="DF96" i="3" s="1"/>
  <c r="DF95" i="3" s="1"/>
  <c r="DF94" i="3" s="1"/>
  <c r="DH74" i="3"/>
  <c r="DE101" i="3"/>
  <c r="DE100" i="3" s="1"/>
  <c r="DE99" i="3" s="1"/>
  <c r="DE98" i="3" s="1"/>
  <c r="DE97" i="3" s="1"/>
  <c r="DE96" i="3" s="1"/>
  <c r="DE95" i="3" s="1"/>
  <c r="DE94" i="3" s="1"/>
  <c r="AP93" i="3"/>
  <c r="H58" i="3"/>
  <c r="AO93" i="3" s="1"/>
  <c r="AF18" i="1"/>
  <c r="J74" i="3" l="1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J100" i="3" s="1"/>
  <c r="J101" i="3" s="1"/>
  <c r="J102" i="3" s="1"/>
  <c r="J103" i="3" s="1"/>
  <c r="J104" i="3" s="1"/>
  <c r="DE93" i="3"/>
  <c r="DE92" i="3" s="1"/>
  <c r="DE91" i="3" s="1"/>
  <c r="DE90" i="3" s="1"/>
  <c r="DE89" i="3" s="1"/>
  <c r="DE88" i="3" s="1"/>
  <c r="DE87" i="3" s="1"/>
  <c r="DE86" i="3" s="1"/>
  <c r="DE85" i="3" s="1"/>
  <c r="DE84" i="3" s="1"/>
  <c r="DE83" i="3" s="1"/>
  <c r="DE82" i="3" s="1"/>
  <c r="DE81" i="3" s="1"/>
  <c r="DE80" i="3" s="1"/>
  <c r="DE79" i="3" s="1"/>
  <c r="DE78" i="3" s="1"/>
  <c r="DE77" i="3" s="1"/>
  <c r="DE76" i="3" s="1"/>
  <c r="DE75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DF93" i="3"/>
  <c r="DF92" i="3" s="1"/>
  <c r="DF91" i="3" s="1"/>
  <c r="DF90" i="3" s="1"/>
  <c r="DF89" i="3" s="1"/>
  <c r="DF88" i="3" s="1"/>
  <c r="DF87" i="3" s="1"/>
  <c r="DF86" i="3" s="1"/>
  <c r="DF85" i="3" s="1"/>
  <c r="DF84" i="3" s="1"/>
  <c r="DF83" i="3" s="1"/>
  <c r="DF82" i="3" s="1"/>
  <c r="DF81" i="3" s="1"/>
  <c r="DF80" i="3" s="1"/>
  <c r="DF79" i="3" s="1"/>
  <c r="DF78" i="3" s="1"/>
  <c r="DF77" i="3" s="1"/>
  <c r="DF76" i="3" s="1"/>
  <c r="DF75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AG18" i="1"/>
  <c r="DE74" i="3" l="1"/>
  <c r="DF74" i="3"/>
  <c r="AH18" i="1"/>
  <c r="AI18" i="1" l="1"/>
  <c r="AI15" i="1" s="1"/>
  <c r="AH15" i="1" l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</calcChain>
</file>

<file path=xl/sharedStrings.xml><?xml version="1.0" encoding="utf-8"?>
<sst xmlns="http://schemas.openxmlformats.org/spreadsheetml/2006/main" count="78" uniqueCount="45">
  <si>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</si>
  <si>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</si>
  <si>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</si>
  <si>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</si>
  <si>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</si>
  <si>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</si>
  <si>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</si>
  <si>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</si>
  <si>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</si>
  <si>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</si>
  <si>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</si>
  <si>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</si>
  <si>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</si>
  <si>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</si>
  <si>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</si>
  <si>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</si>
  <si>
    <t xml:space="preserve"> </t>
  </si>
  <si>
    <t>A</t>
  </si>
  <si>
    <t>B</t>
  </si>
  <si>
    <t>C</t>
  </si>
  <si>
    <t>F</t>
  </si>
  <si>
    <t>Alpha</t>
  </si>
  <si>
    <t>Betta</t>
  </si>
  <si>
    <t>Макрос DZno2</t>
  </si>
  <si>
    <t>Параметры расчетной области</t>
  </si>
  <si>
    <t>H</t>
  </si>
  <si>
    <t>dy</t>
  </si>
  <si>
    <t>Физические параметры</t>
  </si>
  <si>
    <t>Гр. Усл</t>
  </si>
  <si>
    <t>Х</t>
  </si>
  <si>
    <t>У</t>
  </si>
  <si>
    <t>Прошло:</t>
  </si>
  <si>
    <t>lambda</t>
  </si>
  <si>
    <t>T_start</t>
  </si>
  <si>
    <t>T_end</t>
  </si>
  <si>
    <t>Точка</t>
  </si>
  <si>
    <t>Координата</t>
  </si>
  <si>
    <t>n+0.5</t>
  </si>
  <si>
    <t>Fi</t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</si>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</sst>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_ ;\-0.000\ "/>
    <numFmt numFmtId="166" formatCode="0_ ;\-0\ "/>
    <numFmt numFmtId="168" formatCode="0.E+00"/>
    <numFmt numFmtId="169" formatCode="0.0"/>
  </numFmts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  <font>
      <sz val="11"/>
      <color rgb="FF000000"/>
      <name val="Calibri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7">
    <xf numFmtId="0" fontId="0" fillId="0" borderId="0"/>
    <xf numFmtId="0" fontId="2" fillId="8" borderId="3" applyNumberFormat="0" applyAlignment="0" applyProtection="0"/>
    <xf numFmtId="0" fontId="1" fillId="3" borderId="4" applyNumberFormat="0" applyFont="0" applyAlignment="0" applyProtection="0"/>
    <xf numFmtId="0" fontId="3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54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0" fontId="0" fillId="0" borderId="1" xfId="0" applyFill="1" applyBorder="1"/>
    <xf numFmtId="0" fontId="0" fillId="0" borderId="2" xfId="0" applyFill="1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6" borderId="1" xfId="4" applyFont="1" applyBorder="1" applyAlignment="1">
      <alignment horizontal="center" vertical="center"/>
    </xf>
    <xf numFmtId="0" fontId="1" fillId="6" borderId="1" xfId="4" applyBorder="1" applyAlignment="1">
      <alignment horizontal="center" vertical="center"/>
    </xf>
    <xf numFmtId="0" fontId="0" fillId="0" borderId="0" xfId="0" applyBorder="1"/>
    <xf numFmtId="0" fontId="0" fillId="2" borderId="0" xfId="0" applyFill="1" applyBorder="1" applyAlignment="1">
      <alignment horizontal="center" vertical="center"/>
    </xf>
    <xf numFmtId="0" fontId="3" fillId="7" borderId="1" xfId="3" applyBorder="1" applyAlignment="1">
      <alignment horizontal="center" vertical="center"/>
    </xf>
    <xf numFmtId="0" fontId="1" fillId="5" borderId="1" xfId="6" applyBorder="1" applyAlignment="1">
      <alignment horizontal="center" vertical="center"/>
    </xf>
    <xf numFmtId="0" fontId="1" fillId="4" borderId="1" xfId="5" applyBorder="1" applyAlignment="1">
      <alignment horizontal="center" vertical="center"/>
    </xf>
    <xf numFmtId="0" fontId="3" fillId="7" borderId="1" xfId="3" applyBorder="1" applyAlignment="1">
      <alignment horizontal="center" vertical="center"/>
    </xf>
    <xf numFmtId="0" fontId="1" fillId="6" borderId="1" xfId="4" applyBorder="1" applyAlignment="1">
      <alignment horizontal="center" vertical="center"/>
    </xf>
    <xf numFmtId="0" fontId="1" fillId="5" borderId="1" xfId="6" applyBorder="1" applyAlignment="1">
      <alignment horizontal="center" vertical="center"/>
    </xf>
    <xf numFmtId="0" fontId="1" fillId="4" borderId="1" xfId="5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3" borderId="4" xfId="2" applyFont="1" applyAlignment="1">
      <alignment horizontal="center"/>
    </xf>
    <xf numFmtId="0" fontId="0" fillId="3" borderId="4" xfId="2" applyFont="1" applyFill="1" applyAlignment="1">
      <alignment horizontal="center" vertical="center" wrapText="1"/>
    </xf>
    <xf numFmtId="0" fontId="0" fillId="3" borderId="4" xfId="2" applyFont="1" applyFill="1" applyAlignment="1">
      <alignment horizontal="center" vertical="center"/>
    </xf>
    <xf numFmtId="0" fontId="0" fillId="3" borderId="4" xfId="2" applyFont="1" applyFill="1" applyAlignment="1">
      <alignment horizontal="center"/>
    </xf>
    <xf numFmtId="164" fontId="0" fillId="3" borderId="4" xfId="2" applyNumberFormat="1" applyFont="1" applyFill="1" applyAlignment="1">
      <alignment horizontal="center"/>
    </xf>
    <xf numFmtId="0" fontId="2" fillId="8" borderId="3" xfId="1"/>
    <xf numFmtId="0" fontId="0" fillId="9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/>
    <xf numFmtId="0" fontId="5" fillId="0" borderId="1" xfId="0" applyFont="1" applyBorder="1" applyAlignment="1">
      <alignment horizontal="center" vertical="center"/>
    </xf>
    <xf numFmtId="2" fontId="0" fillId="0" borderId="1" xfId="0" applyNumberFormat="1" applyBorder="1"/>
    <xf numFmtId="2" fontId="0" fillId="3" borderId="1" xfId="0" applyNumberFormat="1" applyFill="1" applyBorder="1"/>
    <xf numFmtId="168" fontId="0" fillId="3" borderId="1" xfId="0" applyNumberFormat="1" applyFill="1" applyBorder="1" applyAlignment="1">
      <alignment horizontal="center" vertical="center"/>
    </xf>
    <xf numFmtId="168" fontId="0" fillId="2" borderId="1" xfId="0" applyNumberFormat="1" applyFill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64" fontId="0" fillId="10" borderId="1" xfId="0" applyNumberFormat="1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0" borderId="0" xfId="0" applyFill="1"/>
    <xf numFmtId="0" fontId="0" fillId="10" borderId="9" xfId="0" applyFill="1" applyBorder="1"/>
    <xf numFmtId="0" fontId="0" fillId="10" borderId="7" xfId="0" applyFill="1" applyBorder="1"/>
    <xf numFmtId="0" fontId="0" fillId="10" borderId="6" xfId="0" applyFill="1" applyBorder="1"/>
    <xf numFmtId="169" fontId="0" fillId="3" borderId="1" xfId="0" applyNumberFormat="1" applyFill="1" applyBorder="1" applyAlignment="1">
      <alignment horizontal="center" vertical="center"/>
    </xf>
    <xf numFmtId="169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66" fontId="0" fillId="0" borderId="1" xfId="0" applyNumberFormat="1" applyBorder="1"/>
  </cellXfs>
  <cellStyles count="7">
    <cellStyle name="40% — акцент2" xfId="4" builtinId="35" customBuiltin="1"/>
    <cellStyle name="40% — акцент3" xfId="5" builtinId="39" customBuiltin="1"/>
    <cellStyle name="40% — акцент5" xfId="6" builtinId="47" customBuiltin="1"/>
    <cellStyle name="Акцент2" xfId="3" builtinId="33" customBuiltin="1"/>
    <cellStyle name="Вывод" xfId="1" builtinId="21" customBuiltin="1"/>
    <cellStyle name="Обычный" xfId="0" builtinId="0" customBuiltin="1"/>
    <cellStyle name="Примечание" xfId="2" builtinId="1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Второй род в неявном виде</a:t>
            </a:r>
          </a:p>
          <a:p>
            <a:pPr>
              <a:defRPr/>
            </a:pPr>
            <a:endParaRPr lang="ru-RU"/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Неявный!$F$22</c:f>
              <c:strCache>
                <c:ptCount val="1"/>
                <c:pt idx="0">
                  <c:v>247,6442251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Неявный!$F$21:$AJ$21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Неявный!$F$22:$AJ$22</c:f>
              <c:numCache>
                <c:formatCode>General</c:formatCode>
                <c:ptCount val="31"/>
                <c:pt idx="0">
                  <c:v>247.64422507446139</c:v>
                </c:pt>
                <c:pt idx="1">
                  <c:v>240.97755840779473</c:v>
                </c:pt>
                <c:pt idx="2">
                  <c:v>235.31029114824543</c:v>
                </c:pt>
                <c:pt idx="3">
                  <c:v>229.7212091003725</c:v>
                </c:pt>
                <c:pt idx="4">
                  <c:v>224.20867174518264</c:v>
                </c:pt>
                <c:pt idx="5">
                  <c:v>218.77092203170392</c:v>
                </c:pt>
                <c:pt idx="6">
                  <c:v>213.40608905190356</c:v>
                </c:pt>
                <c:pt idx="7">
                  <c:v>208.11219088894143</c:v>
                </c:pt>
                <c:pt idx="8">
                  <c:v>202.88713763442394</c:v>
                </c:pt>
                <c:pt idx="9">
                  <c:v>197.72873457006492</c:v>
                </c:pt>
                <c:pt idx="10">
                  <c:v>192.63468550891042</c:v>
                </c:pt>
                <c:pt idx="11">
                  <c:v>187.6025962910411</c:v>
                </c:pt>
                <c:pt idx="12">
                  <c:v>182.62997842843041</c:v>
                </c:pt>
                <c:pt idx="13">
                  <c:v>177.71425289341039</c:v>
                </c:pt>
                <c:pt idx="14">
                  <c:v>172.85275404497793</c:v>
                </c:pt>
                <c:pt idx="15">
                  <c:v>168.0427336869638</c:v>
                </c:pt>
                <c:pt idx="16">
                  <c:v>163.28136525188734</c:v>
                </c:pt>
                <c:pt idx="17">
                  <c:v>158.56574810412664</c:v>
                </c:pt>
                <c:pt idx="18">
                  <c:v>153.89291195585406</c:v>
                </c:pt>
                <c:pt idx="19">
                  <c:v>149.25982138901384</c:v>
                </c:pt>
                <c:pt idx="20">
                  <c:v>144.66338047645772</c:v>
                </c:pt>
                <c:pt idx="21">
                  <c:v>140.10043749520338</c:v>
                </c:pt>
                <c:pt idx="22">
                  <c:v>135.56778972464014</c:v>
                </c:pt>
                <c:pt idx="23">
                  <c:v>131.06218832237701</c:v>
                </c:pt>
                <c:pt idx="24">
                  <c:v>126.58034327030994</c:v>
                </c:pt>
                <c:pt idx="25">
                  <c:v>122.11892838337812</c:v>
                </c:pt>
                <c:pt idx="26">
                  <c:v>117.67458637338373</c:v>
                </c:pt>
                <c:pt idx="27">
                  <c:v>113.24393396016569</c:v>
                </c:pt>
                <c:pt idx="28">
                  <c:v>108.82356702234567</c:v>
                </c:pt>
                <c:pt idx="29">
                  <c:v>104.41006577980471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A3-4C67-97D2-7E0BC1170F4A}"/>
            </c:ext>
          </c:extLst>
        </c:ser>
        <c:ser>
          <c:idx val="1"/>
          <c:order val="1"/>
          <c:tx>
            <c:v>Явная схема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64-414E-A97D-3FFD6D5C0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6369535"/>
        <c:axId val="536368287"/>
      </c:lineChart>
      <c:catAx>
        <c:axId val="536369535"/>
        <c:scaling>
          <c:orientation val="minMax"/>
        </c:scaling>
        <c:delete val="0"/>
        <c:axPos val="b"/>
        <c:numFmt formatCode="0.000_ ;\-0.0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368287"/>
        <c:crosses val="autoZero"/>
        <c:auto val="1"/>
        <c:lblAlgn val="ctr"/>
        <c:lblOffset val="100"/>
        <c:noMultiLvlLbl val="0"/>
      </c:catAx>
      <c:valAx>
        <c:axId val="536368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369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31</xdr:row>
          <xdr:rowOff>95250</xdr:rowOff>
        </xdr:from>
        <xdr:to>
          <xdr:col>2</xdr:col>
          <xdr:colOff>95250</xdr:colOff>
          <xdr:row>32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29</xdr:row>
          <xdr:rowOff>123825</xdr:rowOff>
        </xdr:from>
        <xdr:to>
          <xdr:col>2</xdr:col>
          <xdr:colOff>76200</xdr:colOff>
          <xdr:row>30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166686</xdr:colOff>
      <xdr:row>39</xdr:row>
      <xdr:rowOff>92869</xdr:rowOff>
    </xdr:from>
    <xdr:to>
      <xdr:col>17</xdr:col>
      <xdr:colOff>761999</xdr:colOff>
      <xdr:row>56</xdr:row>
      <xdr:rowOff>154781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leb/Desktop/Prk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280.50947535568343</v>
          </cell>
          <cell r="H13">
            <v>261.34019768006675</v>
          </cell>
          <cell r="I13">
            <v>242.17092000445004</v>
          </cell>
          <cell r="J13">
            <v>223.94348784691761</v>
          </cell>
          <cell r="K13">
            <v>205.71605568938512</v>
          </cell>
          <cell r="L13">
            <v>188.98798976713792</v>
          </cell>
          <cell r="M13">
            <v>172.25992384489069</v>
          </cell>
          <cell r="N13">
            <v>157.4917970899659</v>
          </cell>
          <cell r="O13">
            <v>142.72367033504111</v>
          </cell>
          <cell r="P13">
            <v>130.25585219566563</v>
          </cell>
          <cell r="Q13">
            <v>117.78803405629017</v>
          </cell>
          <cell r="R13">
            <v>107.82942130675656</v>
          </cell>
          <cell r="S13">
            <v>97.870808557222944</v>
          </cell>
          <cell r="T13">
            <v>90.498936030544343</v>
          </cell>
          <cell r="U13">
            <v>83.127063503865742</v>
          </cell>
          <cell r="V13">
            <v>78.297409442647279</v>
          </cell>
          <cell r="W13">
            <v>73.467755381428844</v>
          </cell>
          <cell r="X13">
            <v>71.029173463903746</v>
          </cell>
          <cell r="Y13">
            <v>68.590591546378676</v>
          </cell>
          <cell r="Z13">
            <v>68.30369074500706</v>
          </cell>
          <cell r="AA13">
            <v>68.016789943635459</v>
          </cell>
          <cell r="AB13">
            <v>69.572608509723267</v>
          </cell>
          <cell r="AC13">
            <v>71.128427075811075</v>
          </cell>
          <cell r="AD13">
            <v>74.165635391039984</v>
          </cell>
          <cell r="AE13">
            <v>77.202843706268908</v>
          </cell>
          <cell r="AF13">
            <v>81.322660058722235</v>
          </cell>
          <cell r="AG13">
            <v>85.442476411175562</v>
          </cell>
          <cell r="AH13">
            <v>90.221256942685855</v>
          </cell>
          <cell r="AI13">
            <v>95.000037474196134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EH162"/>
  <sheetViews>
    <sheetView tabSelected="1" zoomScaleNormal="100" workbookViewId="0">
      <selection activeCell="D27" sqref="D27"/>
    </sheetView>
  </sheetViews>
  <sheetFormatPr defaultRowHeight="15" x14ac:dyDescent="0.25"/>
  <cols>
    <col min="1" max="1" width="14.28515625" customWidth="1"/>
    <col min="2" max="2" width="13.7109375" customWidth="1"/>
    <col min="5" max="5" width="11.28515625" customWidth="1"/>
    <col min="6" max="6" width="11.85546875" customWidth="1"/>
    <col min="8" max="37" width="10.5703125" bestFit="1" customWidth="1"/>
    <col min="40" max="40" width="11.7109375" bestFit="1" customWidth="1"/>
    <col min="73" max="73" width="10.42578125" customWidth="1"/>
  </cols>
  <sheetData>
    <row r="1" spans="1:39" ht="16.5" customHeight="1" x14ac:dyDescent="0.25">
      <c r="A1" s="23" t="s">
        <v>24</v>
      </c>
      <c r="B1" s="23"/>
      <c r="E1" s="40" t="s">
        <v>35</v>
      </c>
      <c r="F1" s="40"/>
      <c r="G1" s="28">
        <v>1</v>
      </c>
      <c r="H1" s="40">
        <v>2</v>
      </c>
      <c r="I1" s="40">
        <v>3</v>
      </c>
      <c r="J1" s="40">
        <v>4</v>
      </c>
      <c r="K1" s="40">
        <v>5</v>
      </c>
      <c r="L1" s="40">
        <v>6</v>
      </c>
      <c r="M1" s="40">
        <v>7</v>
      </c>
      <c r="N1" s="40">
        <v>8</v>
      </c>
      <c r="O1" s="40">
        <v>9</v>
      </c>
      <c r="P1" s="40">
        <v>10</v>
      </c>
      <c r="Q1" s="40">
        <v>11</v>
      </c>
      <c r="R1" s="40">
        <v>12</v>
      </c>
      <c r="S1" s="40">
        <v>13</v>
      </c>
      <c r="T1" s="40">
        <v>14</v>
      </c>
      <c r="U1" s="40">
        <v>15</v>
      </c>
      <c r="V1" s="40">
        <v>16</v>
      </c>
      <c r="W1" s="40">
        <v>17</v>
      </c>
      <c r="X1" s="40">
        <v>18</v>
      </c>
      <c r="Y1" s="40">
        <v>19</v>
      </c>
      <c r="Z1" s="40">
        <v>20</v>
      </c>
      <c r="AA1" s="40">
        <v>21</v>
      </c>
      <c r="AB1" s="40">
        <v>22</v>
      </c>
      <c r="AC1" s="40">
        <v>23</v>
      </c>
      <c r="AD1" s="40">
        <v>24</v>
      </c>
      <c r="AE1" s="40">
        <v>25</v>
      </c>
      <c r="AF1" s="40">
        <v>26</v>
      </c>
      <c r="AG1" s="40">
        <v>27</v>
      </c>
      <c r="AH1" s="40">
        <v>28</v>
      </c>
      <c r="AI1" s="40">
        <v>29</v>
      </c>
      <c r="AJ1" s="40">
        <v>30</v>
      </c>
      <c r="AK1" s="40">
        <v>31</v>
      </c>
      <c r="AL1" s="46"/>
      <c r="AM1" s="48"/>
    </row>
    <row r="2" spans="1:39" x14ac:dyDescent="0.25">
      <c r="A2" s="23"/>
      <c r="B2" s="23"/>
      <c r="E2" s="40"/>
      <c r="F2" s="40" t="s">
        <v>36</v>
      </c>
      <c r="G2" s="40">
        <v>0</v>
      </c>
      <c r="H2" s="41">
        <f>$B$5*(H1-1)</f>
        <v>3.3333333333333335E-3</v>
      </c>
      <c r="I2" s="41">
        <f t="shared" ref="I2:AK2" si="0">$B$5*(I1-1)</f>
        <v>6.6666666666666671E-3</v>
      </c>
      <c r="J2" s="41">
        <f t="shared" si="0"/>
        <v>0.01</v>
      </c>
      <c r="K2" s="41">
        <f t="shared" si="0"/>
        <v>1.3333333333333334E-2</v>
      </c>
      <c r="L2" s="41">
        <f t="shared" si="0"/>
        <v>1.6666666666666666E-2</v>
      </c>
      <c r="M2" s="41">
        <f t="shared" si="0"/>
        <v>0.02</v>
      </c>
      <c r="N2" s="41">
        <f t="shared" si="0"/>
        <v>2.3333333333333334E-2</v>
      </c>
      <c r="O2" s="41">
        <f t="shared" si="0"/>
        <v>2.6666666666666668E-2</v>
      </c>
      <c r="P2" s="41">
        <f t="shared" si="0"/>
        <v>3.0000000000000002E-2</v>
      </c>
      <c r="Q2" s="41">
        <f t="shared" si="0"/>
        <v>3.3333333333333333E-2</v>
      </c>
      <c r="R2" s="41">
        <f t="shared" si="0"/>
        <v>3.6666666666666667E-2</v>
      </c>
      <c r="S2" s="41">
        <f t="shared" si="0"/>
        <v>0.04</v>
      </c>
      <c r="T2" s="41">
        <f t="shared" si="0"/>
        <v>4.3333333333333335E-2</v>
      </c>
      <c r="U2" s="41">
        <f t="shared" si="0"/>
        <v>4.6666666666666669E-2</v>
      </c>
      <c r="V2" s="41">
        <f t="shared" si="0"/>
        <v>0.05</v>
      </c>
      <c r="W2" s="41">
        <f t="shared" si="0"/>
        <v>5.3333333333333337E-2</v>
      </c>
      <c r="X2" s="41">
        <f t="shared" si="0"/>
        <v>5.6666666666666671E-2</v>
      </c>
      <c r="Y2" s="41">
        <f t="shared" si="0"/>
        <v>6.0000000000000005E-2</v>
      </c>
      <c r="Z2" s="41">
        <f t="shared" si="0"/>
        <v>6.3333333333333339E-2</v>
      </c>
      <c r="AA2" s="41">
        <f t="shared" si="0"/>
        <v>6.6666666666666666E-2</v>
      </c>
      <c r="AB2" s="41">
        <f t="shared" si="0"/>
        <v>7.0000000000000007E-2</v>
      </c>
      <c r="AC2" s="41">
        <f t="shared" si="0"/>
        <v>7.3333333333333334E-2</v>
      </c>
      <c r="AD2" s="41">
        <f t="shared" si="0"/>
        <v>7.6666666666666675E-2</v>
      </c>
      <c r="AE2" s="41">
        <f t="shared" si="0"/>
        <v>0.08</v>
      </c>
      <c r="AF2" s="41">
        <f t="shared" si="0"/>
        <v>8.3333333333333343E-2</v>
      </c>
      <c r="AG2" s="41">
        <f t="shared" si="0"/>
        <v>8.666666666666667E-2</v>
      </c>
      <c r="AH2" s="41">
        <f t="shared" si="0"/>
        <v>9.0000000000000011E-2</v>
      </c>
      <c r="AI2" s="41">
        <f t="shared" si="0"/>
        <v>9.3333333333333338E-2</v>
      </c>
      <c r="AJ2" s="41">
        <f t="shared" si="0"/>
        <v>9.6666666666666679E-2</v>
      </c>
      <c r="AK2" s="41">
        <f t="shared" si="0"/>
        <v>0.1</v>
      </c>
      <c r="AL2" s="46"/>
      <c r="AM2" s="49"/>
    </row>
    <row r="3" spans="1:39" x14ac:dyDescent="0.25">
      <c r="A3" s="24" t="s">
        <v>0</v>
      </c>
      <c r="B3" s="22">
        <v>0.1</v>
      </c>
      <c r="E3" s="40">
        <v>31</v>
      </c>
      <c r="F3" s="41">
        <f t="shared" ref="F3:F31" si="1">$B$6*(E3-1)</f>
        <v>0.1</v>
      </c>
      <c r="G3" s="9">
        <f>$B$16</f>
        <v>300</v>
      </c>
      <c r="H3" s="9">
        <v>293.93239563467614</v>
      </c>
      <c r="I3" s="9">
        <v>287.85821253310655</v>
      </c>
      <c r="J3" s="9">
        <v>281.77094470673478</v>
      </c>
      <c r="K3" s="9">
        <v>275.66423083591133</v>
      </c>
      <c r="L3" s="9">
        <v>269.53192454852581</v>
      </c>
      <c r="M3" s="9">
        <v>263.3681622604812</v>
      </c>
      <c r="N3" s="9">
        <v>257.16742781282983</v>
      </c>
      <c r="O3" s="9">
        <v>250.9246131801255</v>
      </c>
      <c r="P3" s="9">
        <v>244.63507457298891</v>
      </c>
      <c r="Q3" s="9">
        <v>238.29468331426253</v>
      </c>
      <c r="R3" s="9">
        <v>231.89987093155642</v>
      </c>
      <c r="S3" s="9">
        <v>225.44766797850139</v>
      </c>
      <c r="T3" s="9">
        <v>218.93573617158933</v>
      </c>
      <c r="U3" s="9">
        <v>212.36239350801768</v>
      </c>
      <c r="V3" s="9">
        <v>205.72663211138314</v>
      </c>
      <c r="W3" s="9">
        <v>199.02812863528547</v>
      </c>
      <c r="X3" s="9">
        <v>192.26724713885599</v>
      </c>
      <c r="Y3" s="9">
        <v>185.44503443188941</v>
      </c>
      <c r="Z3" s="9">
        <v>178.56320796966503</v>
      </c>
      <c r="AA3" s="9">
        <v>171.62413645781123</v>
      </c>
      <c r="AB3" s="9">
        <v>164.63081340486781</v>
      </c>
      <c r="AC3" s="9">
        <v>157.58682393381358</v>
      </c>
      <c r="AD3" s="9">
        <v>150.49630523310068</v>
      </c>
      <c r="AE3" s="9">
        <v>143.36390109212286</v>
      </c>
      <c r="AF3" s="9">
        <v>136.19471102505833</v>
      </c>
      <c r="AG3" s="9">
        <v>128.99423454028531</v>
      </c>
      <c r="AH3" s="9">
        <v>121.76831115973886</v>
      </c>
      <c r="AI3" s="9">
        <v>114.52305683340653</v>
      </c>
      <c r="AJ3" s="9">
        <v>107.26479742844637</v>
      </c>
      <c r="AK3" s="9">
        <f>$B$17</f>
        <v>100</v>
      </c>
      <c r="AL3" s="41">
        <f>$B$6*(AM3-1)</f>
        <v>0.1</v>
      </c>
      <c r="AM3" s="40">
        <v>31</v>
      </c>
    </row>
    <row r="4" spans="1:39" x14ac:dyDescent="0.25">
      <c r="A4" s="24" t="s">
        <v>25</v>
      </c>
      <c r="B4" s="25">
        <v>0.1</v>
      </c>
      <c r="E4" s="40">
        <v>30</v>
      </c>
      <c r="F4" s="41">
        <f t="shared" si="1"/>
        <v>9.6666666666666679E-2</v>
      </c>
      <c r="G4" s="9">
        <f t="shared" ref="G4:G33" si="2">$B$16</f>
        <v>300</v>
      </c>
      <c r="H4" s="9">
        <v>293.93239563467614</v>
      </c>
      <c r="I4" s="9">
        <v>287.85821253310655</v>
      </c>
      <c r="J4" s="9">
        <v>281.77094470673478</v>
      </c>
      <c r="K4" s="9">
        <v>275.66423083591133</v>
      </c>
      <c r="L4" s="9">
        <v>269.53192454852581</v>
      </c>
      <c r="M4" s="9">
        <v>263.3681622604812</v>
      </c>
      <c r="N4" s="9">
        <v>257.16742781282983</v>
      </c>
      <c r="O4" s="9">
        <v>250.9246131801255</v>
      </c>
      <c r="P4" s="9">
        <v>244.63507457298891</v>
      </c>
      <c r="Q4" s="9">
        <v>238.29468331426253</v>
      </c>
      <c r="R4" s="9">
        <v>231.89987093155645</v>
      </c>
      <c r="S4" s="9">
        <v>225.44766797850139</v>
      </c>
      <c r="T4" s="9">
        <v>218.93573617158933</v>
      </c>
      <c r="U4" s="9">
        <v>212.3623935080177</v>
      </c>
      <c r="V4" s="9">
        <v>205.72663211138314</v>
      </c>
      <c r="W4" s="9">
        <v>199.0281286352855</v>
      </c>
      <c r="X4" s="9">
        <v>192.26724713885602</v>
      </c>
      <c r="Y4" s="9">
        <v>185.44503443188944</v>
      </c>
      <c r="Z4" s="9">
        <v>178.56320796966503</v>
      </c>
      <c r="AA4" s="9">
        <v>171.62413645781123</v>
      </c>
      <c r="AB4" s="9">
        <v>164.63081340486781</v>
      </c>
      <c r="AC4" s="9">
        <v>157.5868239338136</v>
      </c>
      <c r="AD4" s="9">
        <v>150.49630523310068</v>
      </c>
      <c r="AE4" s="9">
        <v>143.36390109212286</v>
      </c>
      <c r="AF4" s="9">
        <v>136.19471102505833</v>
      </c>
      <c r="AG4" s="9">
        <v>128.99423454028531</v>
      </c>
      <c r="AH4" s="9">
        <v>121.76831115973886</v>
      </c>
      <c r="AI4" s="9">
        <v>114.52305683340654</v>
      </c>
      <c r="AJ4" s="9">
        <v>107.26479742844637</v>
      </c>
      <c r="AK4" s="9">
        <f t="shared" ref="AK4:AK33" si="3">$B$17</f>
        <v>100</v>
      </c>
      <c r="AL4" s="41">
        <f t="shared" ref="AL4:AL33" si="4">$B$6*(AM4-1)</f>
        <v>9.6666666666666679E-2</v>
      </c>
      <c r="AM4" s="40">
        <v>30</v>
      </c>
    </row>
    <row r="5" spans="1:39" x14ac:dyDescent="0.25">
      <c r="A5" s="24" t="s">
        <v>1</v>
      </c>
      <c r="B5" s="26">
        <f>B3/30</f>
        <v>3.3333333333333335E-3</v>
      </c>
      <c r="E5" s="40">
        <v>29</v>
      </c>
      <c r="F5" s="41">
        <f t="shared" si="1"/>
        <v>9.3333333333333338E-2</v>
      </c>
      <c r="G5" s="9">
        <f t="shared" si="2"/>
        <v>300</v>
      </c>
      <c r="H5" s="9">
        <v>293.93228725925633</v>
      </c>
      <c r="I5" s="9">
        <v>287.85799700426338</v>
      </c>
      <c r="J5" s="9">
        <v>281.77062445355494</v>
      </c>
      <c r="K5" s="9">
        <v>275.66380946498953</v>
      </c>
      <c r="L5" s="9">
        <v>269.53140680016094</v>
      </c>
      <c r="M5" s="9">
        <v>263.36755395132036</v>
      </c>
      <c r="N5" s="9">
        <v>257.1667357658261</v>
      </c>
      <c r="O5" s="9">
        <v>250.92384514285521</v>
      </c>
      <c r="P5" s="9">
        <v>244.63423912552707</v>
      </c>
      <c r="Q5" s="9">
        <v>238.29378976794374</v>
      </c>
      <c r="R5" s="9">
        <v>231.89892922004793</v>
      </c>
      <c r="S5" s="9">
        <v>225.44668854268332</v>
      </c>
      <c r="T5" s="9">
        <v>218.93472983977904</v>
      </c>
      <c r="U5" s="9">
        <v>212.36137137308435</v>
      </c>
      <c r="V5" s="9">
        <v>205.72560540628461</v>
      </c>
      <c r="W5" s="9">
        <v>199.02710860851687</v>
      </c>
      <c r="X5" s="9">
        <v>192.26624493123825</v>
      </c>
      <c r="Y5" s="9">
        <v>185.44406095604484</v>
      </c>
      <c r="Z5" s="9">
        <v>178.56227379343153</v>
      </c>
      <c r="AA5" s="9">
        <v>171.62325169274138</v>
      </c>
      <c r="AB5" s="9">
        <v>164.62998760084616</v>
      </c>
      <c r="AC5" s="9">
        <v>157.58606598071026</v>
      </c>
      <c r="AD5" s="9">
        <v>150.49562327026422</v>
      </c>
      <c r="AE5" s="9">
        <v>143.36330242640298</v>
      </c>
      <c r="AF5" s="9">
        <v>136.19420205794347</v>
      </c>
      <c r="AG5" s="9">
        <v>128.99382070463972</v>
      </c>
      <c r="AH5" s="9">
        <v>121.76799686653371</v>
      </c>
      <c r="AI5" s="9">
        <v>114.52284542875688</v>
      </c>
      <c r="AJ5" s="9">
        <v>107.26469116119179</v>
      </c>
      <c r="AK5" s="9">
        <f t="shared" si="3"/>
        <v>100</v>
      </c>
      <c r="AL5" s="41">
        <f t="shared" si="4"/>
        <v>9.3333333333333338E-2</v>
      </c>
      <c r="AM5" s="40">
        <v>29</v>
      </c>
    </row>
    <row r="6" spans="1:39" x14ac:dyDescent="0.25">
      <c r="A6" s="24" t="s">
        <v>26</v>
      </c>
      <c r="B6" s="26">
        <f>B4/30</f>
        <v>3.3333333333333335E-3</v>
      </c>
      <c r="C6" s="27" t="s">
        <v>31</v>
      </c>
      <c r="E6" s="40">
        <v>28</v>
      </c>
      <c r="F6" s="41">
        <f t="shared" si="1"/>
        <v>9.0000000000000011E-2</v>
      </c>
      <c r="G6" s="9">
        <v>300</v>
      </c>
      <c r="H6" s="9">
        <v>293.93207180156577</v>
      </c>
      <c r="I6" s="9">
        <v>287.85756851827932</v>
      </c>
      <c r="J6" s="9">
        <v>281.7699877684376</v>
      </c>
      <c r="K6" s="9">
        <v>275.66297175085231</v>
      </c>
      <c r="L6" s="9">
        <v>269.53037748098814</v>
      </c>
      <c r="M6" s="9">
        <v>263.36634459094222</v>
      </c>
      <c r="N6" s="9">
        <v>257.16535992867358</v>
      </c>
      <c r="O6" s="9">
        <v>250.92231823157266</v>
      </c>
      <c r="P6" s="9">
        <v>244.63257819782626</v>
      </c>
      <c r="Q6" s="9">
        <v>238.29201333533783</v>
      </c>
      <c r="R6" s="9">
        <v>231.89705703130011</v>
      </c>
      <c r="S6" s="9">
        <v>225.44474135494471</v>
      </c>
      <c r="T6" s="9">
        <v>218.9327291804687</v>
      </c>
      <c r="U6" s="9">
        <v>212.35933929558729</v>
      </c>
      <c r="V6" s="9">
        <v>205.72356424251117</v>
      </c>
      <c r="W6" s="9">
        <v>199.02508072128649</v>
      </c>
      <c r="X6" s="9">
        <v>192.26425246932666</v>
      </c>
      <c r="Y6" s="9">
        <v>185.44212561457144</v>
      </c>
      <c r="Z6" s="9">
        <v>178.56041658207693</v>
      </c>
      <c r="AA6" s="9">
        <v>171.62149271407287</v>
      </c>
      <c r="AB6" s="9">
        <v>164.62834584080633</v>
      </c>
      <c r="AC6" s="9">
        <v>157.58455911309349</v>
      </c>
      <c r="AD6" s="9">
        <v>150.49426747677799</v>
      </c>
      <c r="AE6" s="9">
        <v>143.36211223368724</v>
      </c>
      <c r="AF6" s="9">
        <v>136.19319019271029</v>
      </c>
      <c r="AG6" s="9">
        <v>128.99299796789816</v>
      </c>
      <c r="AH6" s="9">
        <v>121.76737202768393</v>
      </c>
      <c r="AI6" s="9">
        <v>114.5224251401734</v>
      </c>
      <c r="AJ6" s="9">
        <v>107.26447989376899</v>
      </c>
      <c r="AK6" s="9">
        <f t="shared" si="3"/>
        <v>100</v>
      </c>
      <c r="AL6" s="41">
        <f t="shared" si="4"/>
        <v>9.0000000000000011E-2</v>
      </c>
      <c r="AM6" s="40">
        <v>28</v>
      </c>
    </row>
    <row r="7" spans="1:39" x14ac:dyDescent="0.25">
      <c r="A7" s="24" t="s">
        <v>3</v>
      </c>
      <c r="B7" s="25">
        <v>120</v>
      </c>
      <c r="C7">
        <v>121</v>
      </c>
      <c r="E7" s="40">
        <v>27</v>
      </c>
      <c r="F7" s="41">
        <f t="shared" si="1"/>
        <v>8.666666666666667E-2</v>
      </c>
      <c r="G7" s="9">
        <v>300</v>
      </c>
      <c r="H7" s="9">
        <v>293.93175183168563</v>
      </c>
      <c r="I7" s="9">
        <v>287.85693218630843</v>
      </c>
      <c r="J7" s="9">
        <v>281.76904224594853</v>
      </c>
      <c r="K7" s="9">
        <v>275.66172768586762</v>
      </c>
      <c r="L7" s="9">
        <v>269.52884886866292</v>
      </c>
      <c r="M7" s="9">
        <v>263.36454860423555</v>
      </c>
      <c r="N7" s="9">
        <v>257.16331671156843</v>
      </c>
      <c r="O7" s="9">
        <v>250.92005065792802</v>
      </c>
      <c r="P7" s="9">
        <v>244.63011159940191</v>
      </c>
      <c r="Q7" s="9">
        <v>238.28937520290913</v>
      </c>
      <c r="R7" s="9">
        <v>231.89427669307292</v>
      </c>
      <c r="S7" s="9">
        <v>225.44184963668664</v>
      </c>
      <c r="T7" s="9">
        <v>218.92975805189053</v>
      </c>
      <c r="U7" s="9">
        <v>212.35632150754205</v>
      </c>
      <c r="V7" s="9">
        <v>205.72053295953026</v>
      </c>
      <c r="W7" s="9">
        <v>199.02206915385312</v>
      </c>
      <c r="X7" s="9">
        <v>192.26129351010178</v>
      </c>
      <c r="Y7" s="9">
        <v>185.43925148254903</v>
      </c>
      <c r="Z7" s="9">
        <v>178.55765847836523</v>
      </c>
      <c r="AA7" s="9">
        <v>171.61888049268467</v>
      </c>
      <c r="AB7" s="9">
        <v>164.62590769751085</v>
      </c>
      <c r="AC7" s="9">
        <v>157.58232129504057</v>
      </c>
      <c r="AD7" s="9">
        <v>150.4922540152653</v>
      </c>
      <c r="AE7" s="9">
        <v>143.3603447021116</v>
      </c>
      <c r="AF7" s="9">
        <v>136.19168749142872</v>
      </c>
      <c r="AG7" s="9">
        <v>128.99177613743268</v>
      </c>
      <c r="AH7" s="9">
        <v>121.76644409143408</v>
      </c>
      <c r="AI7" s="9">
        <v>114.52180097755854</v>
      </c>
      <c r="AJ7" s="9">
        <v>107.26416614450224</v>
      </c>
      <c r="AK7" s="9">
        <f t="shared" si="3"/>
        <v>100</v>
      </c>
      <c r="AL7" s="41">
        <f t="shared" si="4"/>
        <v>8.666666666666667E-2</v>
      </c>
      <c r="AM7" s="40">
        <v>27</v>
      </c>
    </row>
    <row r="8" spans="1:39" x14ac:dyDescent="0.25">
      <c r="A8" s="24" t="s">
        <v>2</v>
      </c>
      <c r="B8" s="25">
        <v>1</v>
      </c>
      <c r="E8" s="40">
        <v>26</v>
      </c>
      <c r="F8" s="41">
        <f t="shared" si="1"/>
        <v>8.3333333333333343E-2</v>
      </c>
      <c r="G8" s="9">
        <f t="shared" si="2"/>
        <v>300</v>
      </c>
      <c r="H8" s="9">
        <v>293.93133116443443</v>
      </c>
      <c r="I8" s="9">
        <v>287.85609559493219</v>
      </c>
      <c r="J8" s="9">
        <v>281.76779915884788</v>
      </c>
      <c r="K8" s="9">
        <v>275.66009210190714</v>
      </c>
      <c r="L8" s="9">
        <v>269.52683918716639</v>
      </c>
      <c r="M8" s="9">
        <v>263.36218740238144</v>
      </c>
      <c r="N8" s="9">
        <v>257.16063047254937</v>
      </c>
      <c r="O8" s="9">
        <v>250.9170694539277</v>
      </c>
      <c r="P8" s="9">
        <v>244.62686873404425</v>
      </c>
      <c r="Q8" s="9">
        <v>238.28590681832762</v>
      </c>
      <c r="R8" s="9">
        <v>231.89062134713609</v>
      </c>
      <c r="S8" s="9">
        <v>225.43804785618357</v>
      </c>
      <c r="T8" s="9">
        <v>218.92585186763722</v>
      </c>
      <c r="U8" s="9">
        <v>212.35235397741206</v>
      </c>
      <c r="V8" s="9">
        <v>205.7165476853524</v>
      </c>
      <c r="W8" s="9">
        <v>199.01810979795931</v>
      </c>
      <c r="X8" s="9">
        <v>192.25740331706757</v>
      </c>
      <c r="Y8" s="9">
        <v>185.43547281135528</v>
      </c>
      <c r="Z8" s="9">
        <v>178.55403234984044</v>
      </c>
      <c r="AA8" s="9">
        <v>171.61544615667714</v>
      </c>
      <c r="AB8" s="9">
        <v>164.62270222380332</v>
      </c>
      <c r="AC8" s="9">
        <v>157.57937919157223</v>
      </c>
      <c r="AD8" s="9">
        <v>150.48960687677919</v>
      </c>
      <c r="AE8" s="9">
        <v>143.35802089191051</v>
      </c>
      <c r="AF8" s="9">
        <v>136.18971185851032</v>
      </c>
      <c r="AG8" s="9">
        <v>128.99016977088905</v>
      </c>
      <c r="AH8" s="9">
        <v>121.76522411364735</v>
      </c>
      <c r="AI8" s="9">
        <v>114.52098037740501</v>
      </c>
      <c r="AJ8" s="9">
        <v>107.26375365148917</v>
      </c>
      <c r="AK8" s="9">
        <f t="shared" si="3"/>
        <v>100</v>
      </c>
      <c r="AL8" s="41">
        <f t="shared" si="4"/>
        <v>8.3333333333333343E-2</v>
      </c>
      <c r="AM8" s="40">
        <v>26</v>
      </c>
    </row>
    <row r="9" spans="1:39" x14ac:dyDescent="0.25">
      <c r="E9" s="40">
        <v>25</v>
      </c>
      <c r="F9" s="41">
        <f t="shared" si="1"/>
        <v>0.08</v>
      </c>
      <c r="G9" s="9">
        <f t="shared" si="2"/>
        <v>300</v>
      </c>
      <c r="H9" s="9">
        <v>293.93081481167047</v>
      </c>
      <c r="I9" s="9">
        <v>287.85506871130434</v>
      </c>
      <c r="J9" s="9">
        <v>281.76627331715133</v>
      </c>
      <c r="K9" s="9">
        <v>275.65808448491777</v>
      </c>
      <c r="L9" s="9">
        <v>269.52437237898243</v>
      </c>
      <c r="M9" s="9">
        <v>263.35928911520563</v>
      </c>
      <c r="N9" s="9">
        <v>257.1573332130381</v>
      </c>
      <c r="O9" s="9">
        <v>250.91341013408339</v>
      </c>
      <c r="P9" s="9">
        <v>244.62288823236179</v>
      </c>
      <c r="Q9" s="9">
        <v>238.28164949751354</v>
      </c>
      <c r="R9" s="9">
        <v>231.88613453519383</v>
      </c>
      <c r="S9" s="9">
        <v>225.43338129798786</v>
      </c>
      <c r="T9" s="9">
        <v>218.92105715431325</v>
      </c>
      <c r="U9" s="9">
        <v>212.34748396088793</v>
      </c>
      <c r="V9" s="9">
        <v>205.71165588537735</v>
      </c>
      <c r="W9" s="9">
        <v>199.01324980868768</v>
      </c>
      <c r="X9" s="9">
        <v>192.25262822000974</v>
      </c>
      <c r="Y9" s="9">
        <v>185.43083460111467</v>
      </c>
      <c r="Z9" s="9">
        <v>178.54958137860092</v>
      </c>
      <c r="AA9" s="9">
        <v>171.61123060290316</v>
      </c>
      <c r="AB9" s="9">
        <v>164.61876759007853</v>
      </c>
      <c r="AC9" s="9">
        <v>157.57576783595363</v>
      </c>
      <c r="AD9" s="9">
        <v>150.48635758149484</v>
      </c>
      <c r="AE9" s="9">
        <v>143.35516847269591</v>
      </c>
      <c r="AF9" s="9">
        <v>136.18728681737164</v>
      </c>
      <c r="AG9" s="9">
        <v>128.98819799460836</v>
      </c>
      <c r="AH9" s="9">
        <v>121.76372661991161</v>
      </c>
      <c r="AI9" s="9">
        <v>114.51997311004777</v>
      </c>
      <c r="AJ9" s="9">
        <v>107.26324732598015</v>
      </c>
      <c r="AK9" s="9">
        <f t="shared" si="3"/>
        <v>100</v>
      </c>
      <c r="AL9" s="41">
        <f t="shared" si="4"/>
        <v>0.08</v>
      </c>
      <c r="AM9" s="40">
        <v>25</v>
      </c>
    </row>
    <row r="10" spans="1:39" x14ac:dyDescent="0.25">
      <c r="A10" s="20" t="s">
        <v>27</v>
      </c>
      <c r="B10" s="20"/>
      <c r="E10" s="40">
        <v>24</v>
      </c>
      <c r="F10" s="41">
        <f t="shared" si="1"/>
        <v>7.6666666666666675E-2</v>
      </c>
      <c r="G10" s="9">
        <v>300</v>
      </c>
      <c r="H10" s="9">
        <v>293.93020891978966</v>
      </c>
      <c r="I10" s="9">
        <v>287.85386375885463</v>
      </c>
      <c r="J10" s="9">
        <v>281.76448288344648</v>
      </c>
      <c r="K10" s="9">
        <v>275.65572873193929</v>
      </c>
      <c r="L10" s="9">
        <v>269.52147780656117</v>
      </c>
      <c r="M10" s="9">
        <v>263.35588824045408</v>
      </c>
      <c r="N10" s="9">
        <v>257.15346417887531</v>
      </c>
      <c r="O10" s="9">
        <v>250.90911625268936</v>
      </c>
      <c r="P10" s="9">
        <v>244.61821747026084</v>
      </c>
      <c r="Q10" s="9">
        <v>238.27665390969977</v>
      </c>
      <c r="R10" s="9">
        <v>231.88086965626735</v>
      </c>
      <c r="S10" s="9">
        <v>225.42790549865944</v>
      </c>
      <c r="T10" s="9">
        <v>218.91543097185945</v>
      </c>
      <c r="U10" s="9">
        <v>212.34176941220204</v>
      </c>
      <c r="V10" s="9">
        <v>205.70591577117187</v>
      </c>
      <c r="W10" s="9">
        <v>199.00754701717881</v>
      </c>
      <c r="X10" s="9">
        <v>192.24702503806512</v>
      </c>
      <c r="Y10" s="9">
        <v>185.42539204039517</v>
      </c>
      <c r="Z10" s="9">
        <v>178.54435852369693</v>
      </c>
      <c r="AA10" s="9">
        <v>171.60628398787452</v>
      </c>
      <c r="AB10" s="9">
        <v>164.61415060918</v>
      </c>
      <c r="AC10" s="9">
        <v>157.57153019368295</v>
      </c>
      <c r="AD10" s="9">
        <v>150.4825447864568</v>
      </c>
      <c r="AE10" s="9">
        <v>143.35182137915083</v>
      </c>
      <c r="AF10" s="9">
        <v>136.18444121774158</v>
      </c>
      <c r="AG10" s="9">
        <v>128.98588426565939</v>
      </c>
      <c r="AH10" s="9">
        <v>121.76196942482241</v>
      </c>
      <c r="AI10" s="9">
        <v>114.51879115811241</v>
      </c>
      <c r="AJ10" s="9">
        <v>107.26265319127921</v>
      </c>
      <c r="AK10" s="9">
        <f t="shared" si="3"/>
        <v>100</v>
      </c>
      <c r="AL10" s="41">
        <f t="shared" si="4"/>
        <v>7.6666666666666675E-2</v>
      </c>
      <c r="AM10" s="40">
        <v>24</v>
      </c>
    </row>
    <row r="11" spans="1:39" x14ac:dyDescent="0.25">
      <c r="A11" s="16" t="s">
        <v>4</v>
      </c>
      <c r="B11" s="16">
        <v>460</v>
      </c>
      <c r="E11" s="40">
        <v>23</v>
      </c>
      <c r="F11" s="41">
        <f t="shared" si="1"/>
        <v>7.3333333333333334E-2</v>
      </c>
      <c r="G11" s="9">
        <f t="shared" si="2"/>
        <v>300</v>
      </c>
      <c r="H11" s="9">
        <v>293.92952069332756</v>
      </c>
      <c r="I11" s="9">
        <v>287.85249506535729</v>
      </c>
      <c r="J11" s="9">
        <v>281.76244914714744</v>
      </c>
      <c r="K11" s="9">
        <v>275.65305285409761</v>
      </c>
      <c r="L11" s="9">
        <v>269.51818988740411</v>
      </c>
      <c r="M11" s="9">
        <v>263.35202521508506</v>
      </c>
      <c r="N11" s="9">
        <v>257.14906937264419</v>
      </c>
      <c r="O11" s="9">
        <v>250.90423886265427</v>
      </c>
      <c r="P11" s="9">
        <v>244.61291198034814</v>
      </c>
      <c r="Q11" s="9">
        <v>238.27097944798146</v>
      </c>
      <c r="R11" s="9">
        <v>231.87488930340413</v>
      </c>
      <c r="S11" s="9">
        <v>225.42168555700164</v>
      </c>
      <c r="T11" s="9">
        <v>218.909040204951</v>
      </c>
      <c r="U11" s="9">
        <v>212.33527826450683</v>
      </c>
      <c r="V11" s="9">
        <v>205.69939557773961</v>
      </c>
      <c r="W11" s="9">
        <v>199.00106921271146</v>
      </c>
      <c r="X11" s="9">
        <v>192.24066037444948</v>
      </c>
      <c r="Y11" s="9">
        <v>185.41920982125635</v>
      </c>
      <c r="Z11" s="9">
        <v>178.53842586392432</v>
      </c>
      <c r="AA11" s="9">
        <v>171.60066510540196</v>
      </c>
      <c r="AB11" s="9">
        <v>164.60890615558898</v>
      </c>
      <c r="AC11" s="9">
        <v>157.56671662946553</v>
      </c>
      <c r="AD11" s="9">
        <v>150.47821380604503</v>
      </c>
      <c r="AE11" s="9">
        <v>143.34801939010813</v>
      </c>
      <c r="AF11" s="9">
        <v>136.18120887783721</v>
      </c>
      <c r="AG11" s="9">
        <v>128.98325608091619</v>
      </c>
      <c r="AH11" s="9">
        <v>121.75997341104997</v>
      </c>
      <c r="AI11" s="9">
        <v>114.51744856791383</v>
      </c>
      <c r="AJ11" s="9">
        <v>107.26197830804819</v>
      </c>
      <c r="AK11" s="9">
        <f t="shared" si="3"/>
        <v>100</v>
      </c>
      <c r="AL11" s="41">
        <f t="shared" si="4"/>
        <v>7.3333333333333334E-2</v>
      </c>
      <c r="AM11" s="40">
        <v>23</v>
      </c>
    </row>
    <row r="12" spans="1:39" x14ac:dyDescent="0.25">
      <c r="A12" s="16" t="s">
        <v>5</v>
      </c>
      <c r="B12" s="16">
        <v>7800</v>
      </c>
      <c r="E12" s="40">
        <v>22</v>
      </c>
      <c r="F12" s="41">
        <f t="shared" si="1"/>
        <v>7.0000000000000007E-2</v>
      </c>
      <c r="G12" s="9">
        <f t="shared" si="2"/>
        <v>300</v>
      </c>
      <c r="H12" s="9">
        <v>293.92875830576401</v>
      </c>
      <c r="I12" s="9">
        <v>287.85097888555072</v>
      </c>
      <c r="J12" s="9">
        <v>281.76019626093557</v>
      </c>
      <c r="K12" s="9">
        <v>275.65008862984519</v>
      </c>
      <c r="L12" s="9">
        <v>269.51454766801982</v>
      </c>
      <c r="M12" s="9">
        <v>263.34774591474206</v>
      </c>
      <c r="N12" s="9">
        <v>257.14420098429247</v>
      </c>
      <c r="O12" s="9">
        <v>250.89883588366473</v>
      </c>
      <c r="P12" s="9">
        <v>244.60703476471292</v>
      </c>
      <c r="Q12" s="9">
        <v>238.26469349439367</v>
      </c>
      <c r="R12" s="9">
        <v>231.86826448923759</v>
      </c>
      <c r="S12" s="9">
        <v>225.41479532870244</v>
      </c>
      <c r="T12" s="9">
        <v>218.90196073563487</v>
      </c>
      <c r="U12" s="9">
        <v>212.32808758963637</v>
      </c>
      <c r="V12" s="9">
        <v>205.69217271964493</v>
      </c>
      <c r="W12" s="9">
        <v>198.99389330443347</v>
      </c>
      <c r="X12" s="9">
        <v>192.23360979294765</v>
      </c>
      <c r="Y12" s="9">
        <v>185.4123613394575</v>
      </c>
      <c r="Z12" s="9">
        <v>178.53185383042245</v>
      </c>
      <c r="AA12" s="9">
        <v>171.59444065987535</v>
      </c>
      <c r="AB12" s="9">
        <v>164.60309648721449</v>
      </c>
      <c r="AC12" s="9">
        <v>157.56138428479716</v>
      </c>
      <c r="AD12" s="9">
        <v>150.47341605201635</v>
      </c>
      <c r="AE12" s="9">
        <v>143.34380763703106</v>
      </c>
      <c r="AF12" s="9">
        <v>136.17762816652171</v>
      </c>
      <c r="AG12" s="9">
        <v>128.98034463733714</v>
      </c>
      <c r="AH12" s="9">
        <v>121.75776227134679</v>
      </c>
      <c r="AI12" s="9">
        <v>114.51596127592802</v>
      </c>
      <c r="AJ12" s="9">
        <v>107.26123068708067</v>
      </c>
      <c r="AK12" s="9">
        <f t="shared" si="3"/>
        <v>100</v>
      </c>
      <c r="AL12" s="41">
        <f t="shared" si="4"/>
        <v>7.0000000000000007E-2</v>
      </c>
      <c r="AM12" s="40">
        <v>22</v>
      </c>
    </row>
    <row r="13" spans="1:39" x14ac:dyDescent="0.25">
      <c r="A13" s="16" t="s">
        <v>32</v>
      </c>
      <c r="B13" s="16">
        <v>46</v>
      </c>
      <c r="E13" s="40">
        <v>21</v>
      </c>
      <c r="F13" s="41">
        <f t="shared" si="1"/>
        <v>6.6666666666666666E-2</v>
      </c>
      <c r="G13" s="9">
        <f t="shared" si="2"/>
        <v>300</v>
      </c>
      <c r="H13" s="9">
        <v>293.92793079879863</v>
      </c>
      <c r="I13" s="9">
        <v>287.84933320082757</v>
      </c>
      <c r="J13" s="9">
        <v>281.75775094313019</v>
      </c>
      <c r="K13" s="9">
        <v>275.64687121337562</v>
      </c>
      <c r="L13" s="9">
        <v>269.51059434280114</v>
      </c>
      <c r="M13" s="9">
        <v>263.34310108851548</v>
      </c>
      <c r="N13" s="9">
        <v>257.13891674813607</v>
      </c>
      <c r="O13" s="9">
        <v>250.89297138864868</v>
      </c>
      <c r="P13" s="9">
        <v>244.6006555188402</v>
      </c>
      <c r="Q13" s="9">
        <v>238.25787058994246</v>
      </c>
      <c r="R13" s="9">
        <v>231.86107377137887</v>
      </c>
      <c r="S13" s="9">
        <v>225.40731651679857</v>
      </c>
      <c r="T13" s="9">
        <v>218.89427650893288</v>
      </c>
      <c r="U13" s="9">
        <v>212.32028264915573</v>
      </c>
      <c r="V13" s="9">
        <v>205.68433283794127</v>
      </c>
      <c r="W13" s="9">
        <v>198.98610437461107</v>
      </c>
      <c r="X13" s="9">
        <v>192.22595688781982</v>
      </c>
      <c r="Y13" s="9">
        <v>185.40492779114112</v>
      </c>
      <c r="Z13" s="9">
        <v>178.52472033992905</v>
      </c>
      <c r="AA13" s="9">
        <v>171.58768444545751</v>
      </c>
      <c r="AB13" s="9">
        <v>164.59679047936919</v>
      </c>
      <c r="AC13" s="9">
        <v>157.5555963749498</v>
      </c>
      <c r="AD13" s="9">
        <v>150.46820840103064</v>
      </c>
      <c r="AE13" s="9">
        <v>143.33923604883753</v>
      </c>
      <c r="AF13" s="9">
        <v>136.1737415313446</v>
      </c>
      <c r="AG13" s="9">
        <v>128.97718444824238</v>
      </c>
      <c r="AH13" s="9">
        <v>121.75536221713787</v>
      </c>
      <c r="AI13" s="9">
        <v>114.5143469127861</v>
      </c>
      <c r="AJ13" s="9">
        <v>107.26041919077744</v>
      </c>
      <c r="AK13" s="9">
        <f t="shared" si="3"/>
        <v>100</v>
      </c>
      <c r="AL13" s="41">
        <f t="shared" si="4"/>
        <v>6.6666666666666666E-2</v>
      </c>
      <c r="AM13" s="40">
        <v>21</v>
      </c>
    </row>
    <row r="14" spans="1:39" x14ac:dyDescent="0.25">
      <c r="A14" s="8"/>
      <c r="B14" s="8"/>
      <c r="E14" s="40">
        <v>20</v>
      </c>
      <c r="F14" s="41">
        <f t="shared" si="1"/>
        <v>6.3333333333333339E-2</v>
      </c>
      <c r="G14" s="9">
        <v>300</v>
      </c>
      <c r="H14" s="9">
        <v>293.92704797150736</v>
      </c>
      <c r="I14" s="9">
        <v>287.84757749880146</v>
      </c>
      <c r="J14" s="9">
        <v>281.75514215015687</v>
      </c>
      <c r="K14" s="9">
        <v>275.64343870369305</v>
      </c>
      <c r="L14" s="9">
        <v>269.50637672455736</v>
      </c>
      <c r="M14" s="9">
        <v>263.33814573690216</v>
      </c>
      <c r="N14" s="9">
        <v>257.13327923524116</v>
      </c>
      <c r="O14" s="9">
        <v>250.88671481851998</v>
      </c>
      <c r="P14" s="9">
        <v>244.59384977750847</v>
      </c>
      <c r="Q14" s="9">
        <v>238.25059152119269</v>
      </c>
      <c r="R14" s="9">
        <v>231.85340228986558</v>
      </c>
      <c r="S14" s="9">
        <v>225.39933767067086</v>
      </c>
      <c r="T14" s="9">
        <v>218.88607850446135</v>
      </c>
      <c r="U14" s="9">
        <v>212.31195584994845</v>
      </c>
      <c r="V14" s="9">
        <v>205.67596875120788</v>
      </c>
      <c r="W14" s="9">
        <v>198.9777946366072</v>
      </c>
      <c r="X14" s="9">
        <v>192.21779226009895</v>
      </c>
      <c r="Y14" s="9">
        <v>185.39699717858764</v>
      </c>
      <c r="Z14" s="9">
        <v>178.5171098407755</v>
      </c>
      <c r="AA14" s="9">
        <v>171.58047644263189</v>
      </c>
      <c r="AB14" s="9">
        <v>164.59006278160473</v>
      </c>
      <c r="AC14" s="9">
        <v>157.54942141515349</v>
      </c>
      <c r="AD14" s="9">
        <v>150.46265249847028</v>
      </c>
      <c r="AE14" s="9">
        <v>143.33435874079748</v>
      </c>
      <c r="AF14" s="9">
        <v>136.16959497903375</v>
      </c>
      <c r="AG14" s="9">
        <v>128.97381292092965</v>
      </c>
      <c r="AH14" s="9">
        <v>121.75280165774842</v>
      </c>
      <c r="AI14" s="9">
        <v>114.51262458751819</v>
      </c>
      <c r="AJ14" s="9">
        <v>107.25955342469371</v>
      </c>
      <c r="AK14" s="9">
        <f t="shared" si="3"/>
        <v>100</v>
      </c>
      <c r="AL14" s="41">
        <f t="shared" si="4"/>
        <v>6.3333333333333339E-2</v>
      </c>
      <c r="AM14" s="40">
        <v>20</v>
      </c>
    </row>
    <row r="15" spans="1:39" x14ac:dyDescent="0.25">
      <c r="A15" s="19" t="s">
        <v>28</v>
      </c>
      <c r="B15" s="19"/>
      <c r="E15" s="40">
        <v>19</v>
      </c>
      <c r="F15" s="41">
        <f t="shared" si="1"/>
        <v>6.0000000000000005E-2</v>
      </c>
      <c r="G15" s="9">
        <v>300</v>
      </c>
      <c r="H15" s="9">
        <v>293.92612026090535</v>
      </c>
      <c r="I15" s="9">
        <v>287.84573253578361</v>
      </c>
      <c r="J15" s="9">
        <v>281.7524007236218</v>
      </c>
      <c r="K15" s="9">
        <v>275.63983168026863</v>
      </c>
      <c r="L15" s="9">
        <v>269.50194467398961</v>
      </c>
      <c r="M15" s="9">
        <v>263.33293844152388</v>
      </c>
      <c r="N15" s="9">
        <v>257.12735509091982</v>
      </c>
      <c r="O15" s="9">
        <v>250.88014013600471</v>
      </c>
      <c r="P15" s="9">
        <v>244.58669799441731</v>
      </c>
      <c r="Q15" s="9">
        <v>238.24294233597078</v>
      </c>
      <c r="R15" s="9">
        <v>231.84534072989737</v>
      </c>
      <c r="S15" s="9">
        <v>225.39095310732529</v>
      </c>
      <c r="T15" s="9">
        <v>218.87746362819405</v>
      </c>
      <c r="U15" s="9">
        <v>212.30320561868439</v>
      </c>
      <c r="V15" s="9">
        <v>205.66717932509547</v>
      </c>
      <c r="W15" s="9">
        <v>198.9690623118901</v>
      </c>
      <c r="X15" s="9">
        <v>192.20921241432376</v>
      </c>
      <c r="Y15" s="9">
        <v>185.38866323867933</v>
      </c>
      <c r="Z15" s="9">
        <v>178.50911228470324</v>
      </c>
      <c r="AA15" s="9">
        <v>171.57290184448777</v>
      </c>
      <c r="AB15" s="9">
        <v>164.5829929089607</v>
      </c>
      <c r="AC15" s="9">
        <v>157.5429323865755</v>
      </c>
      <c r="AD15" s="9">
        <v>150.45681400808837</v>
      </c>
      <c r="AE15" s="9">
        <v>143.32923335587259</v>
      </c>
      <c r="AF15" s="9">
        <v>136.165237515553</v>
      </c>
      <c r="AG15" s="9">
        <v>128.97026990141165</v>
      </c>
      <c r="AH15" s="9">
        <v>121.7501108546607</v>
      </c>
      <c r="AI15" s="9">
        <v>114.51081465500036</v>
      </c>
      <c r="AJ15" s="9">
        <v>107.25864362064294</v>
      </c>
      <c r="AK15" s="9">
        <f t="shared" si="3"/>
        <v>100</v>
      </c>
      <c r="AL15" s="41">
        <f t="shared" si="4"/>
        <v>6.0000000000000005E-2</v>
      </c>
      <c r="AM15" s="40">
        <v>19</v>
      </c>
    </row>
    <row r="16" spans="1:39" x14ac:dyDescent="0.25">
      <c r="A16" s="15" t="s">
        <v>33</v>
      </c>
      <c r="B16" s="15">
        <v>300</v>
      </c>
      <c r="E16" s="40">
        <v>18</v>
      </c>
      <c r="F16" s="41">
        <f t="shared" si="1"/>
        <v>5.6666666666666671E-2</v>
      </c>
      <c r="G16" s="9">
        <v>300</v>
      </c>
      <c r="H16" s="9">
        <v>293.92515861553062</v>
      </c>
      <c r="I16" s="9">
        <v>287.84382008537818</v>
      </c>
      <c r="J16" s="9">
        <v>281.74955901675867</v>
      </c>
      <c r="K16" s="9">
        <v>275.63609271155451</v>
      </c>
      <c r="L16" s="9">
        <v>269.49735049581204</v>
      </c>
      <c r="M16" s="9">
        <v>263.32754065565291</v>
      </c>
      <c r="N16" s="9">
        <v>257.1212142276317</v>
      </c>
      <c r="O16" s="9">
        <v>250.8733249299701</v>
      </c>
      <c r="P16" s="9">
        <v>244.5792845679635</v>
      </c>
      <c r="Q16" s="9">
        <v>238.23501330146075</v>
      </c>
      <c r="R16" s="9">
        <v>231.83698422384748</v>
      </c>
      <c r="S16" s="9">
        <v>225.38226176950502</v>
      </c>
      <c r="T16" s="9">
        <v>218.86853353930726</v>
      </c>
      <c r="U16" s="9">
        <v>212.29413521033612</v>
      </c>
      <c r="V16" s="9">
        <v>205.6580682756109</v>
      </c>
      <c r="W16" s="9">
        <v>198.96001044119731</v>
      </c>
      <c r="X16" s="9">
        <v>192.20031859056371</v>
      </c>
      <c r="Y16" s="9">
        <v>185.3800243084975</v>
      </c>
      <c r="Z16" s="9">
        <v>178.50082203833895</v>
      </c>
      <c r="AA16" s="9">
        <v>171.56505002584498</v>
      </c>
      <c r="AB16" s="9">
        <v>164.5756642798525</v>
      </c>
      <c r="AC16" s="9">
        <v>157.53620585331424</v>
      </c>
      <c r="AD16" s="9">
        <v>150.45076181757588</v>
      </c>
      <c r="AE16" s="9">
        <v>143.32392036735359</v>
      </c>
      <c r="AF16" s="9">
        <v>136.16072055325213</v>
      </c>
      <c r="AG16" s="9">
        <v>128.96659719239403</v>
      </c>
      <c r="AH16" s="9">
        <v>121.74732155544643</v>
      </c>
      <c r="AI16" s="9">
        <v>114.50893846972984</v>
      </c>
      <c r="AJ16" s="9">
        <v>107.25770051292818</v>
      </c>
      <c r="AK16" s="9">
        <f t="shared" si="3"/>
        <v>100</v>
      </c>
      <c r="AL16" s="41">
        <f t="shared" si="4"/>
        <v>5.6666666666666671E-2</v>
      </c>
      <c r="AM16" s="40">
        <v>18</v>
      </c>
    </row>
    <row r="17" spans="1:39" x14ac:dyDescent="0.25">
      <c r="A17" s="15" t="s">
        <v>34</v>
      </c>
      <c r="B17" s="15">
        <v>100</v>
      </c>
      <c r="E17" s="40">
        <v>17</v>
      </c>
      <c r="F17" s="41">
        <f t="shared" si="1"/>
        <v>5.3333333333333337E-2</v>
      </c>
      <c r="G17" s="9">
        <v>300</v>
      </c>
      <c r="H17" s="9">
        <v>293.92417436371937</v>
      </c>
      <c r="I17" s="9">
        <v>287.84186267652069</v>
      </c>
      <c r="J17" s="9">
        <v>281.74665050518684</v>
      </c>
      <c r="K17" s="9">
        <v>275.63226584285292</v>
      </c>
      <c r="L17" s="9">
        <v>269.49264830950165</v>
      </c>
      <c r="M17" s="9">
        <v>263.32201596492223</v>
      </c>
      <c r="N17" s="9">
        <v>257.11492898395852</v>
      </c>
      <c r="O17" s="9">
        <v>250.86634948208939</v>
      </c>
      <c r="P17" s="9">
        <v>244.57169682603569</v>
      </c>
      <c r="Q17" s="9">
        <v>238.2268978184542</v>
      </c>
      <c r="R17" s="9">
        <v>231.82843120704896</v>
      </c>
      <c r="S17" s="9">
        <v>225.37336603570768</v>
      </c>
      <c r="T17" s="9">
        <v>218.85939342759161</v>
      </c>
      <c r="U17" s="9">
        <v>212.28485146646625</v>
      </c>
      <c r="V17" s="9">
        <v>205.64874292192883</v>
      </c>
      <c r="W17" s="9">
        <v>198.95074564553556</v>
      </c>
      <c r="X17" s="9">
        <v>192.19121554713695</v>
      </c>
      <c r="Y17" s="9">
        <v>185.3711821430083</v>
      </c>
      <c r="Z17" s="9">
        <v>178.49233674867639</v>
      </c>
      <c r="AA17" s="9">
        <v>171.55701346880213</v>
      </c>
      <c r="AB17" s="9">
        <v>164.56816321327338</v>
      </c>
      <c r="AC17" s="9">
        <v>157.52932104203899</v>
      </c>
      <c r="AD17" s="9">
        <v>150.44456721051051</v>
      </c>
      <c r="AE17" s="9">
        <v>143.31848235197822</v>
      </c>
      <c r="AF17" s="9">
        <v>136.15609729291515</v>
      </c>
      <c r="AG17" s="9">
        <v>128.96283805083959</v>
      </c>
      <c r="AH17" s="9">
        <v>121.74446661219342</v>
      </c>
      <c r="AI17" s="9">
        <v>114.50701812916957</v>
      </c>
      <c r="AJ17" s="9">
        <v>107.25673520932958</v>
      </c>
      <c r="AK17" s="9">
        <f t="shared" si="3"/>
        <v>100</v>
      </c>
      <c r="AL17" s="41">
        <f t="shared" si="4"/>
        <v>5.3333333333333337E-2</v>
      </c>
      <c r="AM17" s="40">
        <v>17</v>
      </c>
    </row>
    <row r="18" spans="1:39" x14ac:dyDescent="0.25">
      <c r="A18" s="8"/>
      <c r="B18" s="8"/>
      <c r="E18" s="40">
        <v>16</v>
      </c>
      <c r="F18" s="41">
        <f t="shared" si="1"/>
        <v>0.05</v>
      </c>
      <c r="G18" s="9">
        <v>300</v>
      </c>
      <c r="H18" s="9">
        <v>293.92317907827402</v>
      </c>
      <c r="I18" s="9">
        <v>287.83988332434194</v>
      </c>
      <c r="J18" s="9">
        <v>281.74370938700838</v>
      </c>
      <c r="K18" s="9">
        <v>275.62839607015388</v>
      </c>
      <c r="L18" s="9">
        <v>269.48789340280223</v>
      </c>
      <c r="M18" s="9">
        <v>263.316429327766</v>
      </c>
      <c r="N18" s="9">
        <v>257.10857326050768</v>
      </c>
      <c r="O18" s="9">
        <v>250.85929580789107</v>
      </c>
      <c r="P18" s="9">
        <v>244.56402398292977</v>
      </c>
      <c r="Q18" s="9">
        <v>238.21869130576559</v>
      </c>
      <c r="R18" s="9">
        <v>231.81978224211883</v>
      </c>
      <c r="S18" s="9">
        <v>225.36437049745933</v>
      </c>
      <c r="T18" s="9">
        <v>218.85015075719861</v>
      </c>
      <c r="U18" s="9">
        <v>212.27546353929799</v>
      </c>
      <c r="V18" s="9">
        <v>205.63931290480963</v>
      </c>
      <c r="W18" s="9">
        <v>198.94137685298736</v>
      </c>
      <c r="X18" s="9">
        <v>192.18201030970971</v>
      </c>
      <c r="Y18" s="9">
        <v>185.36224070007171</v>
      </c>
      <c r="Z18" s="9">
        <v>178.48375617717994</v>
      </c>
      <c r="AA18" s="9">
        <v>171.54888665854861</v>
      </c>
      <c r="AB18" s="9">
        <v>164.56057789822574</v>
      </c>
      <c r="AC18" s="9">
        <v>157.52235889612649</v>
      </c>
      <c r="AD18" s="9">
        <v>150.43830301534786</v>
      </c>
      <c r="AE18" s="9">
        <v>143.31298324288699</v>
      </c>
      <c r="AF18" s="9">
        <v>136.15142208866069</v>
      </c>
      <c r="AG18" s="9">
        <v>128.95903667158552</v>
      </c>
      <c r="AH18" s="9">
        <v>121.74157958933746</v>
      </c>
      <c r="AI18" s="9">
        <v>114.50507620996495</v>
      </c>
      <c r="AJ18" s="9">
        <v>107.25575905850889</v>
      </c>
      <c r="AK18" s="9">
        <f t="shared" si="3"/>
        <v>100</v>
      </c>
      <c r="AL18" s="41">
        <f t="shared" si="4"/>
        <v>0.05</v>
      </c>
      <c r="AM18" s="40">
        <v>16</v>
      </c>
    </row>
    <row r="19" spans="1:39" x14ac:dyDescent="0.25">
      <c r="A19" s="18" t="s">
        <v>29</v>
      </c>
      <c r="B19" s="18"/>
      <c r="E19" s="40">
        <v>15</v>
      </c>
      <c r="F19" s="41">
        <f t="shared" si="1"/>
        <v>4.6666666666666669E-2</v>
      </c>
      <c r="G19" s="9">
        <f t="shared" si="2"/>
        <v>300</v>
      </c>
      <c r="H19" s="9">
        <v>293.92218443922877</v>
      </c>
      <c r="I19" s="9">
        <v>287.83790525724726</v>
      </c>
      <c r="J19" s="9">
        <v>281.74077017727808</v>
      </c>
      <c r="K19" s="9">
        <v>275.62452880656565</v>
      </c>
      <c r="L19" s="9">
        <v>269.48314157612083</v>
      </c>
      <c r="M19" s="9">
        <v>263.31084630515039</v>
      </c>
      <c r="N19" s="9">
        <v>257.10222164362142</v>
      </c>
      <c r="O19" s="9">
        <v>250.85224668426059</v>
      </c>
      <c r="P19" s="9">
        <v>244.55635608151121</v>
      </c>
      <c r="Q19" s="9">
        <v>238.21049006884891</v>
      </c>
      <c r="R19" s="9">
        <v>231.81113882661055</v>
      </c>
      <c r="S19" s="9">
        <v>225.35538071922548</v>
      </c>
      <c r="T19" s="9">
        <v>218.84091399252225</v>
      </c>
      <c r="U19" s="9">
        <v>212.26608159761344</v>
      </c>
      <c r="V19" s="9">
        <v>205.62988888673772</v>
      </c>
      <c r="W19" s="9">
        <v>198.93201400732983</v>
      </c>
      <c r="X19" s="9">
        <v>192.17281090249963</v>
      </c>
      <c r="Y19" s="9">
        <v>185.35330490804347</v>
      </c>
      <c r="Z19" s="9">
        <v>178.47518101716099</v>
      </c>
      <c r="AA19" s="9">
        <v>171.54076496331336</v>
      </c>
      <c r="AB19" s="9">
        <v>164.55299734832815</v>
      </c>
      <c r="AC19" s="9">
        <v>157.51540111617635</v>
      </c>
      <c r="AD19" s="9">
        <v>150.43204274214426</v>
      </c>
      <c r="AE19" s="9">
        <v>143.30748757179899</v>
      </c>
      <c r="AF19" s="9">
        <v>136.14674980367045</v>
      </c>
      <c r="AG19" s="9">
        <v>128.95523766349788</v>
      </c>
      <c r="AH19" s="9">
        <v>121.73869436582351</v>
      </c>
      <c r="AI19" s="9">
        <v>114.50313550034498</v>
      </c>
      <c r="AJ19" s="9">
        <v>107.25478351549523</v>
      </c>
      <c r="AK19" s="9">
        <f t="shared" si="3"/>
        <v>100</v>
      </c>
      <c r="AL19" s="41">
        <f t="shared" si="4"/>
        <v>4.6666666666666669E-2</v>
      </c>
      <c r="AM19" s="40">
        <v>15</v>
      </c>
    </row>
    <row r="20" spans="1:39" x14ac:dyDescent="0.25">
      <c r="A20" s="10" t="s">
        <v>17</v>
      </c>
      <c r="B20" s="11">
        <f>B13/(B5^2)</f>
        <v>4139999.9999999991</v>
      </c>
      <c r="E20" s="40">
        <v>14</v>
      </c>
      <c r="F20" s="41">
        <f t="shared" si="1"/>
        <v>4.3333333333333335E-2</v>
      </c>
      <c r="G20" s="9">
        <f t="shared" si="2"/>
        <v>300</v>
      </c>
      <c r="H20" s="9">
        <v>293.92120209639279</v>
      </c>
      <c r="I20" s="9">
        <v>287.83595164355273</v>
      </c>
      <c r="J20" s="9">
        <v>281.73786730181365</v>
      </c>
      <c r="K20" s="9">
        <v>275.62070934787317</v>
      </c>
      <c r="L20" s="9">
        <v>269.47844848584589</v>
      </c>
      <c r="M20" s="9">
        <v>263.30533228902976</v>
      </c>
      <c r="N20" s="9">
        <v>257.09594852762359</v>
      </c>
      <c r="O20" s="9">
        <v>250.8452846753039</v>
      </c>
      <c r="P20" s="9">
        <v>244.54878293357763</v>
      </c>
      <c r="Q20" s="9">
        <v>238.20239016646889</v>
      </c>
      <c r="R20" s="9">
        <v>231.80260219859258</v>
      </c>
      <c r="S20" s="9">
        <v>225.34650199613947</v>
      </c>
      <c r="T20" s="9">
        <v>218.83179132181158</v>
      </c>
      <c r="U20" s="9">
        <v>212.25681553032021</v>
      </c>
      <c r="V20" s="9">
        <v>205.62058124968848</v>
      </c>
      <c r="W20" s="9">
        <v>198.92276677427012</v>
      </c>
      <c r="X20" s="9">
        <v>192.16372507710989</v>
      </c>
      <c r="Y20" s="9">
        <v>185.34447943104902</v>
      </c>
      <c r="Z20" s="9">
        <v>178.46671170889624</v>
      </c>
      <c r="AA20" s="9">
        <v>171.53274351215259</v>
      </c>
      <c r="AB20" s="9">
        <v>164.54551035438578</v>
      </c>
      <c r="AC20" s="9">
        <v>157.50852919864042</v>
      </c>
      <c r="AD20" s="9">
        <v>150.42585971756949</v>
      </c>
      <c r="AE20" s="9">
        <v>143.30205970967606</v>
      </c>
      <c r="AF20" s="9">
        <v>136.14213516462436</v>
      </c>
      <c r="AG20" s="9">
        <v>128.95148552456965</v>
      </c>
      <c r="AH20" s="9">
        <v>121.73584473646125</v>
      </c>
      <c r="AI20" s="9">
        <v>114.50121873197972</v>
      </c>
      <c r="AJ20" s="9">
        <v>107.25382000689733</v>
      </c>
      <c r="AK20" s="9">
        <f t="shared" si="3"/>
        <v>100</v>
      </c>
      <c r="AL20" s="41">
        <f t="shared" si="4"/>
        <v>4.3333333333333335E-2</v>
      </c>
      <c r="AM20" s="40">
        <v>14</v>
      </c>
    </row>
    <row r="21" spans="1:39" x14ac:dyDescent="0.25">
      <c r="A21" s="10" t="s">
        <v>18</v>
      </c>
      <c r="B21" s="11">
        <f>(2*B13)/(B5^2)+(B12*B11)/B8</f>
        <v>11867999.999999998</v>
      </c>
      <c r="E21" s="40">
        <v>13</v>
      </c>
      <c r="F21" s="41">
        <f t="shared" si="1"/>
        <v>0.04</v>
      </c>
      <c r="G21" s="9">
        <f t="shared" si="2"/>
        <v>300</v>
      </c>
      <c r="H21" s="9">
        <v>293.92024353330709</v>
      </c>
      <c r="I21" s="9">
        <v>287.83404532093181</v>
      </c>
      <c r="J21" s="9">
        <v>281.73503469517914</v>
      </c>
      <c r="K21" s="9">
        <v>275.61698234358272</v>
      </c>
      <c r="L21" s="9">
        <v>269.47386899440079</v>
      </c>
      <c r="M21" s="9">
        <v>263.29995173870532</v>
      </c>
      <c r="N21" s="9">
        <v>257.08982724604499</v>
      </c>
      <c r="O21" s="9">
        <v>250.83849116816032</v>
      </c>
      <c r="P21" s="9">
        <v>244.54139307102605</v>
      </c>
      <c r="Q21" s="9">
        <v>238.19448628890723</v>
      </c>
      <c r="R21" s="9">
        <v>231.79427215436095</v>
      </c>
      <c r="S21" s="9">
        <v>225.3378381243256</v>
      </c>
      <c r="T21" s="9">
        <v>218.82288939369624</v>
      </c>
      <c r="U21" s="9">
        <v>212.24777366310443</v>
      </c>
      <c r="V21" s="9">
        <v>205.61149880601238</v>
      </c>
      <c r="W21" s="9">
        <v>198.91374326068296</v>
      </c>
      <c r="X21" s="9">
        <v>192.15485905411043</v>
      </c>
      <c r="Y21" s="9">
        <v>185.33586744661301</v>
      </c>
      <c r="Z21" s="9">
        <v>178.45844726657765</v>
      </c>
      <c r="AA21" s="9">
        <v>171.52491608392148</v>
      </c>
      <c r="AB21" s="9">
        <v>164.53820444738028</v>
      </c>
      <c r="AC21" s="9">
        <v>157.50182348399869</v>
      </c>
      <c r="AD21" s="9">
        <v>150.41982622849491</v>
      </c>
      <c r="AE21" s="9">
        <v>143.29676311490402</v>
      </c>
      <c r="AF21" s="9">
        <v>136.13763212251922</v>
      </c>
      <c r="AG21" s="9">
        <v>128.94782412220297</v>
      </c>
      <c r="AH21" s="9">
        <v>121.73306401721487</v>
      </c>
      <c r="AI21" s="9">
        <v>114.49934831448272</v>
      </c>
      <c r="AJ21" s="9">
        <v>107.25287979744465</v>
      </c>
      <c r="AK21" s="9">
        <f t="shared" si="3"/>
        <v>100</v>
      </c>
      <c r="AL21" s="41">
        <f t="shared" si="4"/>
        <v>0.04</v>
      </c>
      <c r="AM21" s="40">
        <v>13</v>
      </c>
    </row>
    <row r="22" spans="1:39" x14ac:dyDescent="0.25">
      <c r="A22" s="10" t="s">
        <v>19</v>
      </c>
      <c r="B22" s="11">
        <f>B20</f>
        <v>4139999.9999999991</v>
      </c>
      <c r="E22" s="40">
        <v>12</v>
      </c>
      <c r="F22" s="41">
        <f t="shared" si="1"/>
        <v>3.6666666666666667E-2</v>
      </c>
      <c r="G22" s="9">
        <f t="shared" si="2"/>
        <v>300</v>
      </c>
      <c r="H22" s="9">
        <v>293.91931993418336</v>
      </c>
      <c r="I22" s="9">
        <v>287.83220853179148</v>
      </c>
      <c r="J22" s="9">
        <v>281.73230540747738</v>
      </c>
      <c r="K22" s="9">
        <v>275.61339127955341</v>
      </c>
      <c r="L22" s="9">
        <v>269.46945653452741</v>
      </c>
      <c r="M22" s="9">
        <v>263.29476743389512</v>
      </c>
      <c r="N22" s="9">
        <v>257.08392922184839</v>
      </c>
      <c r="O22" s="9">
        <v>250.8319454298873</v>
      </c>
      <c r="P22" s="9">
        <v>244.53427271992328</v>
      </c>
      <c r="Q22" s="9">
        <v>238.18687066064476</v>
      </c>
      <c r="R22" s="9">
        <v>231.78624589192367</v>
      </c>
      <c r="S22" s="9">
        <v>225.32949019800171</v>
      </c>
      <c r="T22" s="9">
        <v>218.81431208120054</v>
      </c>
      <c r="U22" s="9">
        <v>212.23906150297719</v>
      </c>
      <c r="V22" s="9">
        <v>205.60274753730835</v>
      </c>
      <c r="W22" s="9">
        <v>198.90504876162851</v>
      </c>
      <c r="X22" s="9">
        <v>192.1463162918869</v>
      </c>
      <c r="Y22" s="9">
        <v>185.32756944974852</v>
      </c>
      <c r="Z22" s="9">
        <v>178.45048413063063</v>
      </c>
      <c r="AA22" s="9">
        <v>171.51737402025032</v>
      </c>
      <c r="AB22" s="9">
        <v>164.53116488384484</v>
      </c>
      <c r="AC22" s="9">
        <v>157.49536222546499</v>
      </c>
      <c r="AD22" s="9">
        <v>150.41401268403979</v>
      </c>
      <c r="AE22" s="9">
        <v>143.29165959766726</v>
      </c>
      <c r="AF22" s="9">
        <v>136.13329322724618</v>
      </c>
      <c r="AG22" s="9">
        <v>128.94429618467433</v>
      </c>
      <c r="AH22" s="9">
        <v>121.73038465898246</v>
      </c>
      <c r="AI22" s="9">
        <v>114.4975460756223</v>
      </c>
      <c r="AJ22" s="9">
        <v>107.25197385939794</v>
      </c>
      <c r="AK22" s="9">
        <f t="shared" si="3"/>
        <v>100</v>
      </c>
      <c r="AL22" s="41">
        <f t="shared" si="4"/>
        <v>3.6666666666666667E-2</v>
      </c>
      <c r="AM22" s="40">
        <v>12</v>
      </c>
    </row>
    <row r="23" spans="1:39" x14ac:dyDescent="0.25">
      <c r="A23" s="8"/>
      <c r="B23" s="8"/>
      <c r="E23" s="40">
        <v>11</v>
      </c>
      <c r="F23" s="41">
        <f t="shared" si="1"/>
        <v>3.3333333333333333E-2</v>
      </c>
      <c r="G23" s="9">
        <f t="shared" si="2"/>
        <v>300</v>
      </c>
      <c r="H23" s="9">
        <v>293.91844205531152</v>
      </c>
      <c r="I23" s="9">
        <v>287.83046266753456</v>
      </c>
      <c r="J23" s="9">
        <v>281.72971122434376</v>
      </c>
      <c r="K23" s="9">
        <v>275.60997797799394</v>
      </c>
      <c r="L23" s="9">
        <v>269.46526249490074</v>
      </c>
      <c r="M23" s="9">
        <v>263.28983975285814</v>
      </c>
      <c r="N23" s="9">
        <v>257.07832314614564</v>
      </c>
      <c r="O23" s="9">
        <v>250.82572369595147</v>
      </c>
      <c r="P23" s="9">
        <v>244.52750480894142</v>
      </c>
      <c r="Q23" s="9">
        <v>238.1796319797794</v>
      </c>
      <c r="R23" s="9">
        <v>231.77861689318061</v>
      </c>
      <c r="S23" s="9">
        <v>225.32155544680455</v>
      </c>
      <c r="T23" s="9">
        <v>218.80615928706072</v>
      </c>
      <c r="U23" s="9">
        <v>212.23078052474713</v>
      </c>
      <c r="V23" s="9">
        <v>205.59442937538529</v>
      </c>
      <c r="W23" s="9">
        <v>198.89678454915844</v>
      </c>
      <c r="X23" s="9">
        <v>192.1381962965232</v>
      </c>
      <c r="Y23" s="9">
        <v>185.31968209688014</v>
      </c>
      <c r="Z23" s="9">
        <v>178.4429150582352</v>
      </c>
      <c r="AA23" s="9">
        <v>171.51020517468314</v>
      </c>
      <c r="AB23" s="9">
        <v>164.52447366497466</v>
      </c>
      <c r="AC23" s="9">
        <v>157.48922068864132</v>
      </c>
      <c r="AD23" s="9">
        <v>150.40848680545133</v>
      </c>
      <c r="AE23" s="9">
        <v>143.28680860874778</v>
      </c>
      <c r="AF23" s="9">
        <v>136.12916902292633</v>
      </c>
      <c r="AG23" s="9">
        <v>128.94094280947232</v>
      </c>
      <c r="AH23" s="9">
        <v>121.72783787418703</v>
      </c>
      <c r="AI23" s="9">
        <v>114.49583301014883</v>
      </c>
      <c r="AJ23" s="9">
        <v>107.25111274629012</v>
      </c>
      <c r="AK23" s="9">
        <f t="shared" si="3"/>
        <v>100</v>
      </c>
      <c r="AL23" s="41">
        <f t="shared" si="4"/>
        <v>3.3333333333333333E-2</v>
      </c>
      <c r="AM23" s="40">
        <v>11</v>
      </c>
    </row>
    <row r="24" spans="1:39" x14ac:dyDescent="0.25">
      <c r="A24" s="17" t="s">
        <v>30</v>
      </c>
      <c r="B24" s="17"/>
      <c r="E24" s="40">
        <v>10</v>
      </c>
      <c r="F24" s="41">
        <f t="shared" si="1"/>
        <v>3.0000000000000002E-2</v>
      </c>
      <c r="G24" s="9">
        <f t="shared" si="2"/>
        <v>300</v>
      </c>
      <c r="H24" s="9">
        <v>293.91762010232418</v>
      </c>
      <c r="I24" s="9">
        <v>287.82882802446915</v>
      </c>
      <c r="J24" s="9">
        <v>281.72728230424462</v>
      </c>
      <c r="K24" s="9">
        <v>275.60678212022498</v>
      </c>
      <c r="L24" s="9">
        <v>269.46133563371217</v>
      </c>
      <c r="M24" s="9">
        <v>263.28522598337082</v>
      </c>
      <c r="N24" s="9">
        <v>257.07307419428071</v>
      </c>
      <c r="O24" s="9">
        <v>250.81989830017739</v>
      </c>
      <c r="P24" s="9">
        <v>244.52116802287503</v>
      </c>
      <c r="Q24" s="9">
        <v>238.17285440564515</v>
      </c>
      <c r="R24" s="9">
        <v>231.77147385688448</v>
      </c>
      <c r="S24" s="9">
        <v>225.31412612591041</v>
      </c>
      <c r="T24" s="9">
        <v>218.79852580326579</v>
      </c>
      <c r="U24" s="9">
        <v>212.22302701254628</v>
      </c>
      <c r="V24" s="9">
        <v>205.58664103850106</v>
      </c>
      <c r="W24" s="9">
        <v>198.88904671601776</v>
      </c>
      <c r="X24" s="9">
        <v>192.13059348559878</v>
      </c>
      <c r="Y24" s="9">
        <v>185.31229710211554</v>
      </c>
      <c r="Z24" s="9">
        <v>178.43582806406374</v>
      </c>
      <c r="AA24" s="9">
        <v>171.50349290935949</v>
      </c>
      <c r="AB24" s="9">
        <v>164.5182086000969</v>
      </c>
      <c r="AC24" s="9">
        <v>157.48347029187414</v>
      </c>
      <c r="AD24" s="9">
        <v>150.40331285259521</v>
      </c>
      <c r="AE24" s="9">
        <v>143.28226656045447</v>
      </c>
      <c r="AF24" s="9">
        <v>136.12530747055635</v>
      </c>
      <c r="AG24" s="9">
        <v>128.93780299383718</v>
      </c>
      <c r="AH24" s="9">
        <v>121.72545328022622</v>
      </c>
      <c r="AI24" s="9">
        <v>114.49422903996074</v>
      </c>
      <c r="AJ24" s="9">
        <v>107.25030647236673</v>
      </c>
      <c r="AK24" s="9">
        <f t="shared" si="3"/>
        <v>100</v>
      </c>
      <c r="AL24" s="41">
        <f t="shared" si="4"/>
        <v>3.0000000000000002E-2</v>
      </c>
      <c r="AM24" s="40">
        <v>10</v>
      </c>
    </row>
    <row r="25" spans="1:39" x14ac:dyDescent="0.25">
      <c r="A25" s="14" t="s">
        <v>17</v>
      </c>
      <c r="B25" s="14">
        <f>B13/(B6^2)</f>
        <v>4139999.9999999991</v>
      </c>
      <c r="E25" s="40">
        <v>9</v>
      </c>
      <c r="F25" s="41">
        <f t="shared" si="1"/>
        <v>2.6666666666666668E-2</v>
      </c>
      <c r="G25" s="9">
        <f t="shared" si="2"/>
        <v>300</v>
      </c>
      <c r="H25" s="9">
        <v>293.91686361459938</v>
      </c>
      <c r="I25" s="9">
        <v>287.82732357391313</v>
      </c>
      <c r="J25" s="9">
        <v>281.72504683686702</v>
      </c>
      <c r="K25" s="9">
        <v>275.60384079718978</v>
      </c>
      <c r="L25" s="9">
        <v>269.45772152634243</v>
      </c>
      <c r="M25" s="9">
        <v>263.2809796737514</v>
      </c>
      <c r="N25" s="9">
        <v>257.06824328746546</v>
      </c>
      <c r="O25" s="9">
        <v>250.81453685524173</v>
      </c>
      <c r="P25" s="9">
        <v>244.51533591112926</v>
      </c>
      <c r="Q25" s="9">
        <v>238.16661660521163</v>
      </c>
      <c r="R25" s="9">
        <v>231.76489969353611</v>
      </c>
      <c r="S25" s="9">
        <v>225.30728847055542</v>
      </c>
      <c r="T25" s="9">
        <v>218.79150023675015</v>
      </c>
      <c r="U25" s="9">
        <v>212.21589096852898</v>
      </c>
      <c r="V25" s="9">
        <v>205.57947293505646</v>
      </c>
      <c r="W25" s="9">
        <v>198.8819250863454</v>
      </c>
      <c r="X25" s="9">
        <v>192.12359611779729</v>
      </c>
      <c r="Y25" s="9">
        <v>185.30550019742509</v>
      </c>
      <c r="Z25" s="9">
        <v>178.42930542233128</v>
      </c>
      <c r="AA25" s="9">
        <v>171.49731514975198</v>
      </c>
      <c r="AB25" s="9">
        <v>164.51244242431545</v>
      </c>
      <c r="AC25" s="9">
        <v>157.47817779632345</v>
      </c>
      <c r="AD25" s="9">
        <v>150.39855089516669</v>
      </c>
      <c r="AE25" s="9">
        <v>143.27808618680439</v>
      </c>
      <c r="AF25" s="9">
        <v>136.12175340401993</v>
      </c>
      <c r="AG25" s="9">
        <v>128.93491319242634</v>
      </c>
      <c r="AH25" s="9">
        <v>121.72325856352123</v>
      </c>
      <c r="AI25" s="9">
        <v>114.49275278812515</v>
      </c>
      <c r="AJ25" s="9">
        <v>107.24956439899032</v>
      </c>
      <c r="AK25" s="9">
        <f t="shared" si="3"/>
        <v>100</v>
      </c>
      <c r="AL25" s="41">
        <f t="shared" si="4"/>
        <v>2.6666666666666668E-2</v>
      </c>
      <c r="AM25" s="40">
        <v>9</v>
      </c>
    </row>
    <row r="26" spans="1:39" x14ac:dyDescent="0.25">
      <c r="A26" s="14" t="s">
        <v>18</v>
      </c>
      <c r="B26" s="14">
        <f>(2*B13)/(B6^2)+(B12*B11)/B8</f>
        <v>11867999.999999998</v>
      </c>
      <c r="E26" s="40">
        <v>8</v>
      </c>
      <c r="F26" s="41">
        <f t="shared" si="1"/>
        <v>2.3333333333333334E-2</v>
      </c>
      <c r="G26" s="9">
        <f t="shared" si="2"/>
        <v>300</v>
      </c>
      <c r="H26" s="9">
        <v>293.91618135796682</v>
      </c>
      <c r="I26" s="9">
        <v>287.82596674881262</v>
      </c>
      <c r="J26" s="9">
        <v>281.72303072604501</v>
      </c>
      <c r="K26" s="9">
        <v>275.60118809224645</v>
      </c>
      <c r="L26" s="9">
        <v>269.45446205269764</v>
      </c>
      <c r="M26" s="9">
        <v>263.2771500304807</v>
      </c>
      <c r="N26" s="9">
        <v>257.06388640742091</v>
      </c>
      <c r="O26" s="9">
        <v>250.80970149198635</v>
      </c>
      <c r="P26" s="9">
        <v>244.5100760601814</v>
      </c>
      <c r="Q26" s="9">
        <v>238.16099086789694</v>
      </c>
      <c r="R26" s="9">
        <v>231.75897059237067</v>
      </c>
      <c r="S26" s="9">
        <v>225.30112172552396</v>
      </c>
      <c r="T26" s="9">
        <v>218.78516401210067</v>
      </c>
      <c r="U26" s="9">
        <v>212.20945509978239</v>
      </c>
      <c r="V26" s="9">
        <v>205.57300814583834</v>
      </c>
      <c r="W26" s="9">
        <v>198.87550220440039</v>
      </c>
      <c r="X26" s="9">
        <v>192.1172852991655</v>
      </c>
      <c r="Y26" s="9">
        <v>185.29937016726296</v>
      </c>
      <c r="Z26" s="9">
        <v>178.42342274027141</v>
      </c>
      <c r="AA26" s="9">
        <v>171.49174350704186</v>
      </c>
      <c r="AB26" s="9">
        <v>164.50724197927781</v>
      </c>
      <c r="AC26" s="9">
        <v>157.47340455396085</v>
      </c>
      <c r="AD26" s="9">
        <v>150.39425613601651</v>
      </c>
      <c r="AE26" s="9">
        <v>143.27431594944838</v>
      </c>
      <c r="AF26" s="9">
        <v>136.11854802498632</v>
      </c>
      <c r="AG26" s="9">
        <v>128.93230690659618</v>
      </c>
      <c r="AH26" s="9">
        <v>121.72127916757586</v>
      </c>
      <c r="AI26" s="9">
        <v>114.491421369048</v>
      </c>
      <c r="AJ26" s="9">
        <v>107.24889512916241</v>
      </c>
      <c r="AK26" s="9">
        <f t="shared" si="3"/>
        <v>100</v>
      </c>
      <c r="AL26" s="41">
        <f t="shared" si="4"/>
        <v>2.3333333333333334E-2</v>
      </c>
      <c r="AM26" s="40">
        <v>8</v>
      </c>
    </row>
    <row r="27" spans="1:39" x14ac:dyDescent="0.25">
      <c r="A27" s="14" t="s">
        <v>19</v>
      </c>
      <c r="B27" s="14">
        <f>B25</f>
        <v>4139999.9999999991</v>
      </c>
      <c r="E27" s="40">
        <v>7</v>
      </c>
      <c r="F27" s="41">
        <f t="shared" si="1"/>
        <v>0.02</v>
      </c>
      <c r="G27" s="9">
        <f t="shared" si="2"/>
        <v>300</v>
      </c>
      <c r="H27" s="9">
        <v>293.91558122676383</v>
      </c>
      <c r="I27" s="9">
        <v>287.82477324895279</v>
      </c>
      <c r="J27" s="9">
        <v>281.72125730031212</v>
      </c>
      <c r="K27" s="9">
        <v>275.59885470030855</v>
      </c>
      <c r="L27" s="9">
        <v>269.45159492920584</v>
      </c>
      <c r="M27" s="9">
        <v>263.27378136829236</v>
      </c>
      <c r="N27" s="9">
        <v>257.06005397070834</v>
      </c>
      <c r="O27" s="9">
        <v>250.80544816497229</v>
      </c>
      <c r="P27" s="9">
        <v>244.50544933809334</v>
      </c>
      <c r="Q27" s="9">
        <v>238.15604229743712</v>
      </c>
      <c r="R27" s="9">
        <v>231.75375516954898</v>
      </c>
      <c r="S27" s="9">
        <v>225.29569725908874</v>
      </c>
      <c r="T27" s="9">
        <v>218.77959046102882</v>
      </c>
      <c r="U27" s="9">
        <v>212.20379389335835</v>
      </c>
      <c r="V27" s="9">
        <v>205.56732149477153</v>
      </c>
      <c r="W27" s="9">
        <v>198.86985241121437</v>
      </c>
      <c r="X27" s="9">
        <v>192.1117340757566</v>
      </c>
      <c r="Y27" s="9">
        <v>185.29397796708997</v>
      </c>
      <c r="Z27" s="9">
        <v>178.41824811212106</v>
      </c>
      <c r="AA27" s="9">
        <v>171.48684247674009</v>
      </c>
      <c r="AB27" s="9">
        <v>164.50266746510181</v>
      </c>
      <c r="AC27" s="9">
        <v>157.46920582087688</v>
      </c>
      <c r="AD27" s="9">
        <v>150.39047829323542</v>
      </c>
      <c r="AE27" s="9">
        <v>143.27099949517608</v>
      </c>
      <c r="AF27" s="9">
        <v>136.11572844165838</v>
      </c>
      <c r="AG27" s="9">
        <v>128.93001430933629</v>
      </c>
      <c r="AH27" s="9">
        <v>121.71953800811153</v>
      </c>
      <c r="AI27" s="9">
        <v>114.49025019685608</v>
      </c>
      <c r="AJ27" s="9">
        <v>107.24830641120016</v>
      </c>
      <c r="AK27" s="9">
        <f t="shared" si="3"/>
        <v>100</v>
      </c>
      <c r="AL27" s="41">
        <f t="shared" si="4"/>
        <v>0.02</v>
      </c>
      <c r="AM27" s="40">
        <v>7</v>
      </c>
    </row>
    <row r="28" spans="1:39" x14ac:dyDescent="0.25">
      <c r="E28" s="40">
        <v>6</v>
      </c>
      <c r="F28" s="41">
        <f t="shared" si="1"/>
        <v>1.6666666666666666E-2</v>
      </c>
      <c r="G28" s="9">
        <f t="shared" si="2"/>
        <v>300</v>
      </c>
      <c r="H28" s="9">
        <v>293.91507015616298</v>
      </c>
      <c r="I28" s="9">
        <v>287.82375686659753</v>
      </c>
      <c r="J28" s="9">
        <v>281.71974705380865</v>
      </c>
      <c r="K28" s="9">
        <v>275.59686758692442</v>
      </c>
      <c r="L28" s="9">
        <v>269.44915328988714</v>
      </c>
      <c r="M28" s="9">
        <v>263.27091261792106</v>
      </c>
      <c r="N28" s="9">
        <v>257.05679026865494</v>
      </c>
      <c r="O28" s="9">
        <v>250.80182603083045</v>
      </c>
      <c r="P28" s="9">
        <v>244.50150921820972</v>
      </c>
      <c r="Q28" s="9">
        <v>238.15182808844816</v>
      </c>
      <c r="R28" s="9">
        <v>231.74931370560614</v>
      </c>
      <c r="S28" s="9">
        <v>225.29107776978415</v>
      </c>
      <c r="T28" s="9">
        <v>218.77484400722477</v>
      </c>
      <c r="U28" s="9">
        <v>212.19897278818428</v>
      </c>
      <c r="V28" s="9">
        <v>205.5624787169827</v>
      </c>
      <c r="W28" s="9">
        <v>198.86504101792337</v>
      </c>
      <c r="X28" s="9">
        <v>192.10700662126294</v>
      </c>
      <c r="Y28" s="9">
        <v>185.28938593416231</v>
      </c>
      <c r="Z28" s="9">
        <v>178.41384136164669</v>
      </c>
      <c r="AA28" s="9">
        <v>171.48266872116625</v>
      </c>
      <c r="AB28" s="9">
        <v>164.49877177057203</v>
      </c>
      <c r="AC28" s="9">
        <v>157.46563014242665</v>
      </c>
      <c r="AD28" s="9">
        <v>150.3872610468747</v>
      </c>
      <c r="AE28" s="9">
        <v>143.26817517016195</v>
      </c>
      <c r="AF28" s="9">
        <v>136.11332725575974</v>
      </c>
      <c r="AG28" s="9">
        <v>128.92806190942633</v>
      </c>
      <c r="AH28" s="9">
        <v>121.71805521799041</v>
      </c>
      <c r="AI28" s="9">
        <v>114.4892528138155</v>
      </c>
      <c r="AJ28" s="9">
        <v>107.24780505248469</v>
      </c>
      <c r="AK28" s="9">
        <f t="shared" si="3"/>
        <v>100</v>
      </c>
      <c r="AL28" s="41">
        <f t="shared" si="4"/>
        <v>1.6666666666666666E-2</v>
      </c>
      <c r="AM28" s="40">
        <v>6</v>
      </c>
    </row>
    <row r="29" spans="1:39" x14ac:dyDescent="0.25">
      <c r="E29" s="40">
        <v>5</v>
      </c>
      <c r="F29" s="41">
        <f t="shared" si="1"/>
        <v>1.3333333333333334E-2</v>
      </c>
      <c r="G29" s="9">
        <f t="shared" si="2"/>
        <v>300</v>
      </c>
      <c r="H29" s="9">
        <v>293.91465404557209</v>
      </c>
      <c r="I29" s="9">
        <v>287.82292933414874</v>
      </c>
      <c r="J29" s="9">
        <v>281.71851741990821</v>
      </c>
      <c r="K29" s="9">
        <v>275.59524969040814</v>
      </c>
      <c r="L29" s="9">
        <v>269.44716532032328</v>
      </c>
      <c r="M29" s="9">
        <v>263.2685768960045</v>
      </c>
      <c r="N29" s="9">
        <v>257.05413297799169</v>
      </c>
      <c r="O29" s="9">
        <v>250.79887690509292</v>
      </c>
      <c r="P29" s="9">
        <v>244.49830118822877</v>
      </c>
      <c r="Q29" s="9">
        <v>238.1483968943017</v>
      </c>
      <c r="R29" s="9">
        <v>231.74569747914117</v>
      </c>
      <c r="S29" s="9">
        <v>225.28731659328093</v>
      </c>
      <c r="T29" s="9">
        <v>218.77097945406777</v>
      </c>
      <c r="U29" s="9">
        <v>212.19504745145224</v>
      </c>
      <c r="V29" s="9">
        <v>205.55853573181562</v>
      </c>
      <c r="W29" s="9">
        <v>198.86112358337391</v>
      </c>
      <c r="X29" s="9">
        <v>192.1031575271079</v>
      </c>
      <c r="Y29" s="9">
        <v>185.28564709784814</v>
      </c>
      <c r="Z29" s="9">
        <v>178.4102533801846</v>
      </c>
      <c r="AA29" s="9">
        <v>171.47927044239466</v>
      </c>
      <c r="AB29" s="9">
        <v>164.49559988777838</v>
      </c>
      <c r="AC29" s="9">
        <v>157.46271881588348</v>
      </c>
      <c r="AD29" s="9">
        <v>150.38464155540686</v>
      </c>
      <c r="AE29" s="9">
        <v>143.2658755954354</v>
      </c>
      <c r="AF29" s="9">
        <v>136.1113722015748</v>
      </c>
      <c r="AG29" s="9">
        <v>128.92647225791751</v>
      </c>
      <c r="AH29" s="9">
        <v>121.71684792428337</v>
      </c>
      <c r="AI29" s="9">
        <v>114.48844074037211</v>
      </c>
      <c r="AJ29" s="9">
        <v>107.24739684407828</v>
      </c>
      <c r="AK29" s="9">
        <f t="shared" si="3"/>
        <v>100</v>
      </c>
      <c r="AL29" s="41">
        <f t="shared" si="4"/>
        <v>1.3333333333333334E-2</v>
      </c>
      <c r="AM29" s="40">
        <v>5</v>
      </c>
    </row>
    <row r="30" spans="1:39" x14ac:dyDescent="0.25">
      <c r="E30" s="40">
        <v>4</v>
      </c>
      <c r="F30" s="41">
        <f t="shared" si="1"/>
        <v>0.01</v>
      </c>
      <c r="G30" s="9">
        <f t="shared" si="2"/>
        <v>300</v>
      </c>
      <c r="H30" s="9">
        <v>293.91433769378517</v>
      </c>
      <c r="I30" s="9">
        <v>287.82230019517476</v>
      </c>
      <c r="J30" s="9">
        <v>281.71758257956981</v>
      </c>
      <c r="K30" s="9">
        <v>275.59401966966141</v>
      </c>
      <c r="L30" s="9">
        <v>269.44565394777248</v>
      </c>
      <c r="M30" s="9">
        <v>263.26680114095473</v>
      </c>
      <c r="N30" s="9">
        <v>257.05211274654749</v>
      </c>
      <c r="O30" s="9">
        <v>250.79663480232736</v>
      </c>
      <c r="P30" s="9">
        <v>244.49586224989548</v>
      </c>
      <c r="Q30" s="9">
        <v>238.14578829193459</v>
      </c>
      <c r="R30" s="9">
        <v>231.74294820267522</v>
      </c>
      <c r="S30" s="9">
        <v>225.28445711553348</v>
      </c>
      <c r="T30" s="9">
        <v>218.76804138153847</v>
      </c>
      <c r="U30" s="9">
        <v>212.19206316593625</v>
      </c>
      <c r="V30" s="9">
        <v>205.55553802728281</v>
      </c>
      <c r="W30" s="9">
        <v>198.85814530245301</v>
      </c>
      <c r="X30" s="9">
        <v>192.1002312013392</v>
      </c>
      <c r="Y30" s="9">
        <v>185.28280459563715</v>
      </c>
      <c r="Z30" s="9">
        <v>178.40752556611884</v>
      </c>
      <c r="AA30" s="9">
        <v>171.47668685128184</v>
      </c>
      <c r="AB30" s="9">
        <v>164.49318841644185</v>
      </c>
      <c r="AC30" s="9">
        <v>157.46050543541762</v>
      </c>
      <c r="AD30" s="9">
        <v>150.38265004626314</v>
      </c>
      <c r="AE30" s="9">
        <v>143.26412730738443</v>
      </c>
      <c r="AF30" s="9">
        <v>136.10988584028132</v>
      </c>
      <c r="AG30" s="9">
        <v>128.92526369957446</v>
      </c>
      <c r="AH30" s="9">
        <v>121.7159300594848</v>
      </c>
      <c r="AI30" s="9">
        <v>114.48782334816138</v>
      </c>
      <c r="AJ30" s="9">
        <v>107.24708649688785</v>
      </c>
      <c r="AK30" s="9">
        <f t="shared" si="3"/>
        <v>100</v>
      </c>
      <c r="AL30" s="41">
        <f t="shared" si="4"/>
        <v>0.01</v>
      </c>
      <c r="AM30" s="40">
        <v>4</v>
      </c>
    </row>
    <row r="31" spans="1:39" x14ac:dyDescent="0.25">
      <c r="E31" s="40">
        <v>3</v>
      </c>
      <c r="F31" s="41">
        <f t="shared" si="1"/>
        <v>6.6666666666666671E-3</v>
      </c>
      <c r="G31" s="9">
        <f t="shared" si="2"/>
        <v>300</v>
      </c>
      <c r="H31" s="9">
        <v>293.91412474644267</v>
      </c>
      <c r="I31" s="9">
        <v>287.82187669992061</v>
      </c>
      <c r="J31" s="9">
        <v>281.71695330606804</v>
      </c>
      <c r="K31" s="9">
        <v>275.5931916998627</v>
      </c>
      <c r="L31" s="9">
        <v>269.44463659010313</v>
      </c>
      <c r="M31" s="9">
        <v>263.26560581794314</v>
      </c>
      <c r="N31" s="9">
        <v>257.05075285757704</v>
      </c>
      <c r="O31" s="9">
        <v>250.79512556355013</v>
      </c>
      <c r="P31" s="9">
        <v>244.49422051364496</v>
      </c>
      <c r="Q31" s="9">
        <v>238.1440323482239</v>
      </c>
      <c r="R31" s="9">
        <v>231.74109756556447</v>
      </c>
      <c r="S31" s="9">
        <v>225.28253229728574</v>
      </c>
      <c r="T31" s="9">
        <v>218.76606365756538</v>
      </c>
      <c r="U31" s="9">
        <v>212.19005433355869</v>
      </c>
      <c r="V31" s="9">
        <v>205.55352016130371</v>
      </c>
      <c r="W31" s="9">
        <v>198.85614051046284</v>
      </c>
      <c r="X31" s="9">
        <v>192.0982613815566</v>
      </c>
      <c r="Y31" s="9">
        <v>185.28089119993209</v>
      </c>
      <c r="Z31" s="9">
        <v>178.40568937068318</v>
      </c>
      <c r="AA31" s="9">
        <v>171.47494773720825</v>
      </c>
      <c r="AB31" s="9">
        <v>164.49156516225472</v>
      </c>
      <c r="AC31" s="9">
        <v>157.45901552337537</v>
      </c>
      <c r="AD31" s="9">
        <v>150.38130948402812</v>
      </c>
      <c r="AE31" s="9">
        <v>143.26295046643764</v>
      </c>
      <c r="AF31" s="9">
        <v>136.10888531225115</v>
      </c>
      <c r="AG31" s="9">
        <v>128.92445017145323</v>
      </c>
      <c r="AH31" s="9">
        <v>121.71531220852796</v>
      </c>
      <c r="AI31" s="9">
        <v>114.48740775709945</v>
      </c>
      <c r="AJ31" s="9">
        <v>107.24687758993372</v>
      </c>
      <c r="AK31" s="9">
        <f t="shared" si="3"/>
        <v>100</v>
      </c>
      <c r="AL31" s="41">
        <f t="shared" si="4"/>
        <v>6.6666666666666671E-3</v>
      </c>
      <c r="AM31" s="40">
        <v>3</v>
      </c>
    </row>
    <row r="32" spans="1:39" x14ac:dyDescent="0.25">
      <c r="E32" s="40">
        <v>2</v>
      </c>
      <c r="F32" s="41">
        <f>$B$6*(E32-1)</f>
        <v>3.3333333333333335E-3</v>
      </c>
      <c r="G32" s="9">
        <f t="shared" si="2"/>
        <v>300</v>
      </c>
      <c r="H32" s="9">
        <v>293.91401765624465</v>
      </c>
      <c r="I32" s="9">
        <v>287.82166372617928</v>
      </c>
      <c r="J32" s="9">
        <v>281.71663684740986</v>
      </c>
      <c r="K32" s="9">
        <v>275.59277531774569</v>
      </c>
      <c r="L32" s="9">
        <v>269.44412496566395</v>
      </c>
      <c r="M32" s="9">
        <v>263.26500469548671</v>
      </c>
      <c r="N32" s="9">
        <v>257.05006897555717</v>
      </c>
      <c r="O32" s="9">
        <v>250.79436657406475</v>
      </c>
      <c r="P32" s="9">
        <v>244.49339489162153</v>
      </c>
      <c r="Q32" s="9">
        <v>238.14314929159588</v>
      </c>
      <c r="R32" s="9">
        <v>231.7401668878382</v>
      </c>
      <c r="S32" s="9">
        <v>225.28156431396621</v>
      </c>
      <c r="T32" s="9">
        <v>218.76506906794967</v>
      </c>
      <c r="U32" s="9">
        <v>212.18904409941911</v>
      </c>
      <c r="V32" s="9">
        <v>205.55250538396683</v>
      </c>
      <c r="W32" s="9">
        <v>198.8551323077543</v>
      </c>
      <c r="X32" s="9">
        <v>192.09727076601979</v>
      </c>
      <c r="Y32" s="9">
        <v>185.27992895965298</v>
      </c>
      <c r="Z32" s="9">
        <v>178.40476595396058</v>
      </c>
      <c r="AA32" s="9">
        <v>171.47407314220646</v>
      </c>
      <c r="AB32" s="9">
        <v>164.49074883266644</v>
      </c>
      <c r="AC32" s="9">
        <v>157.45826625101017</v>
      </c>
      <c r="AD32" s="9">
        <v>150.38063531912869</v>
      </c>
      <c r="AE32" s="9">
        <v>143.2623586364171</v>
      </c>
      <c r="AF32" s="9">
        <v>136.10838214943919</v>
      </c>
      <c r="AG32" s="9">
        <v>128.924041050341</v>
      </c>
      <c r="AH32" s="9">
        <v>121.71500149291133</v>
      </c>
      <c r="AI32" s="9">
        <v>114.48719875743785</v>
      </c>
      <c r="AJ32" s="9">
        <v>107.24677253116725</v>
      </c>
      <c r="AK32" s="9">
        <f t="shared" si="3"/>
        <v>100</v>
      </c>
      <c r="AL32" s="41">
        <f t="shared" si="4"/>
        <v>3.3333333333333335E-3</v>
      </c>
      <c r="AM32" s="40">
        <v>2</v>
      </c>
    </row>
    <row r="33" spans="5:138" x14ac:dyDescent="0.25">
      <c r="E33" s="40">
        <v>1</v>
      </c>
      <c r="F33" s="41">
        <v>0</v>
      </c>
      <c r="G33" s="9">
        <f t="shared" si="2"/>
        <v>300</v>
      </c>
      <c r="H33" s="9">
        <v>293.91401765624465</v>
      </c>
      <c r="I33" s="9">
        <v>287.82166372617928</v>
      </c>
      <c r="J33" s="9">
        <v>281.71663684740986</v>
      </c>
      <c r="K33" s="9">
        <v>275.59277531774569</v>
      </c>
      <c r="L33" s="9">
        <v>269.44412496566395</v>
      </c>
      <c r="M33" s="9">
        <v>263.26500469548671</v>
      </c>
      <c r="N33" s="9">
        <v>257.05006897555717</v>
      </c>
      <c r="O33" s="9">
        <v>250.79436657406475</v>
      </c>
      <c r="P33" s="9">
        <v>244.49339489162153</v>
      </c>
      <c r="Q33" s="9">
        <v>238.14314929159588</v>
      </c>
      <c r="R33" s="9">
        <v>231.7401668878382</v>
      </c>
      <c r="S33" s="9">
        <v>225.28156431396621</v>
      </c>
      <c r="T33" s="9">
        <v>218.76506906794967</v>
      </c>
      <c r="U33" s="9">
        <v>212.18904409941911</v>
      </c>
      <c r="V33" s="9">
        <v>205.55250538396683</v>
      </c>
      <c r="W33" s="9">
        <v>198.8551323077543</v>
      </c>
      <c r="X33" s="9">
        <v>192.09727076601979</v>
      </c>
      <c r="Y33" s="9">
        <v>185.27992895965298</v>
      </c>
      <c r="Z33" s="9">
        <v>178.40476595396058</v>
      </c>
      <c r="AA33" s="9">
        <v>171.47407314220646</v>
      </c>
      <c r="AB33" s="9">
        <v>164.49074883266644</v>
      </c>
      <c r="AC33" s="9">
        <v>157.45826625101017</v>
      </c>
      <c r="AD33" s="9">
        <v>150.38063531912869</v>
      </c>
      <c r="AE33" s="9">
        <v>143.2623586364171</v>
      </c>
      <c r="AF33" s="9">
        <v>136.10838214943919</v>
      </c>
      <c r="AG33" s="9">
        <v>128.924041050341</v>
      </c>
      <c r="AH33" s="9">
        <v>121.71500149291133</v>
      </c>
      <c r="AI33" s="9">
        <v>114.48719875743785</v>
      </c>
      <c r="AJ33" s="9">
        <v>107.24677253116725</v>
      </c>
      <c r="AK33" s="9">
        <f t="shared" si="3"/>
        <v>100</v>
      </c>
      <c r="AL33" s="41">
        <f t="shared" si="4"/>
        <v>0</v>
      </c>
      <c r="AM33" s="40">
        <v>1</v>
      </c>
    </row>
    <row r="34" spans="5:138" x14ac:dyDescent="0.25">
      <c r="E34" s="42"/>
      <c r="F34" s="43"/>
      <c r="G34" s="40">
        <v>0</v>
      </c>
      <c r="H34" s="41">
        <f>$B$5*(H35-1)</f>
        <v>3.3333333333333335E-3</v>
      </c>
      <c r="I34" s="41">
        <f t="shared" ref="I34:AK34" si="5">$B$5*(I35-1)</f>
        <v>6.6666666666666671E-3</v>
      </c>
      <c r="J34" s="41">
        <f t="shared" si="5"/>
        <v>0.01</v>
      </c>
      <c r="K34" s="41">
        <f t="shared" si="5"/>
        <v>1.3333333333333334E-2</v>
      </c>
      <c r="L34" s="41">
        <f t="shared" si="5"/>
        <v>1.6666666666666666E-2</v>
      </c>
      <c r="M34" s="41">
        <f t="shared" si="5"/>
        <v>0.02</v>
      </c>
      <c r="N34" s="41">
        <f t="shared" si="5"/>
        <v>2.3333333333333334E-2</v>
      </c>
      <c r="O34" s="41">
        <f t="shared" si="5"/>
        <v>2.6666666666666668E-2</v>
      </c>
      <c r="P34" s="41">
        <f t="shared" si="5"/>
        <v>3.0000000000000002E-2</v>
      </c>
      <c r="Q34" s="41">
        <f t="shared" si="5"/>
        <v>3.3333333333333333E-2</v>
      </c>
      <c r="R34" s="41">
        <f t="shared" si="5"/>
        <v>3.6666666666666667E-2</v>
      </c>
      <c r="S34" s="41">
        <f t="shared" si="5"/>
        <v>0.04</v>
      </c>
      <c r="T34" s="41">
        <f t="shared" si="5"/>
        <v>4.3333333333333335E-2</v>
      </c>
      <c r="U34" s="41">
        <f t="shared" si="5"/>
        <v>4.6666666666666669E-2</v>
      </c>
      <c r="V34" s="41">
        <f t="shared" si="5"/>
        <v>0.05</v>
      </c>
      <c r="W34" s="41">
        <f t="shared" si="5"/>
        <v>5.3333333333333337E-2</v>
      </c>
      <c r="X34" s="41">
        <f t="shared" si="5"/>
        <v>5.6666666666666671E-2</v>
      </c>
      <c r="Y34" s="41">
        <f t="shared" si="5"/>
        <v>6.0000000000000005E-2</v>
      </c>
      <c r="Z34" s="41">
        <f t="shared" si="5"/>
        <v>6.3333333333333339E-2</v>
      </c>
      <c r="AA34" s="41">
        <f t="shared" si="5"/>
        <v>6.6666666666666666E-2</v>
      </c>
      <c r="AB34" s="41">
        <f t="shared" si="5"/>
        <v>7.0000000000000007E-2</v>
      </c>
      <c r="AC34" s="41">
        <f t="shared" si="5"/>
        <v>7.3333333333333334E-2</v>
      </c>
      <c r="AD34" s="41">
        <f t="shared" si="5"/>
        <v>7.6666666666666675E-2</v>
      </c>
      <c r="AE34" s="41">
        <f t="shared" si="5"/>
        <v>0.08</v>
      </c>
      <c r="AF34" s="41">
        <f t="shared" si="5"/>
        <v>8.3333333333333343E-2</v>
      </c>
      <c r="AG34" s="41">
        <f t="shared" si="5"/>
        <v>8.666666666666667E-2</v>
      </c>
      <c r="AH34" s="41">
        <f t="shared" si="5"/>
        <v>9.0000000000000011E-2</v>
      </c>
      <c r="AI34" s="41">
        <f t="shared" si="5"/>
        <v>9.3333333333333338E-2</v>
      </c>
      <c r="AJ34" s="41">
        <f t="shared" si="5"/>
        <v>9.6666666666666679E-2</v>
      </c>
      <c r="AK34" s="41">
        <f t="shared" si="5"/>
        <v>0.1</v>
      </c>
      <c r="AL34" s="46"/>
      <c r="AM34" s="43"/>
      <c r="AN34" s="12"/>
    </row>
    <row r="35" spans="5:138" x14ac:dyDescent="0.25">
      <c r="E35" s="44"/>
      <c r="F35" s="45"/>
      <c r="G35" s="40">
        <v>1</v>
      </c>
      <c r="H35" s="40">
        <v>2</v>
      </c>
      <c r="I35" s="40">
        <v>3</v>
      </c>
      <c r="J35" s="40">
        <v>4</v>
      </c>
      <c r="K35" s="40">
        <v>5</v>
      </c>
      <c r="L35" s="40">
        <v>6</v>
      </c>
      <c r="M35" s="40">
        <v>7</v>
      </c>
      <c r="N35" s="40">
        <v>8</v>
      </c>
      <c r="O35" s="40">
        <v>9</v>
      </c>
      <c r="P35" s="40">
        <v>10</v>
      </c>
      <c r="Q35" s="40">
        <v>11</v>
      </c>
      <c r="R35" s="40">
        <v>12</v>
      </c>
      <c r="S35" s="40">
        <v>13</v>
      </c>
      <c r="T35" s="40">
        <v>14</v>
      </c>
      <c r="U35" s="40">
        <v>15</v>
      </c>
      <c r="V35" s="40">
        <v>16</v>
      </c>
      <c r="W35" s="40">
        <v>17</v>
      </c>
      <c r="X35" s="40">
        <v>18</v>
      </c>
      <c r="Y35" s="40">
        <v>19</v>
      </c>
      <c r="Z35" s="40">
        <v>20</v>
      </c>
      <c r="AA35" s="40">
        <v>21</v>
      </c>
      <c r="AB35" s="40">
        <v>22</v>
      </c>
      <c r="AC35" s="40">
        <v>23</v>
      </c>
      <c r="AD35" s="40">
        <v>24</v>
      </c>
      <c r="AE35" s="40">
        <v>25</v>
      </c>
      <c r="AF35" s="40">
        <v>26</v>
      </c>
      <c r="AG35" s="40">
        <v>27</v>
      </c>
      <c r="AH35" s="40">
        <v>28</v>
      </c>
      <c r="AI35" s="40">
        <v>29</v>
      </c>
      <c r="AJ35" s="40">
        <v>30</v>
      </c>
      <c r="AK35" s="40">
        <v>31</v>
      </c>
      <c r="AL35" s="47"/>
      <c r="AM35" s="45"/>
      <c r="AN35" s="12"/>
    </row>
    <row r="36" spans="5:138" x14ac:dyDescent="0.25"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12"/>
      <c r="AM36" s="13"/>
    </row>
    <row r="37" spans="5:138" x14ac:dyDescent="0.25">
      <c r="AL37" s="12"/>
      <c r="AM37" s="13"/>
    </row>
    <row r="38" spans="5:138" x14ac:dyDescent="0.25">
      <c r="E38" s="31" t="s">
        <v>37</v>
      </c>
      <c r="F38" s="40" t="s">
        <v>36</v>
      </c>
      <c r="G38" s="40">
        <v>0</v>
      </c>
      <c r="H38" s="41">
        <v>3.3333333333333335E-3</v>
      </c>
      <c r="I38" s="41">
        <v>6.6666666666666671E-3</v>
      </c>
      <c r="J38" s="41">
        <v>0.01</v>
      </c>
      <c r="K38" s="41">
        <v>1.3333333333333334E-2</v>
      </c>
      <c r="L38" s="41">
        <v>1.6666666666666666E-2</v>
      </c>
      <c r="M38" s="41">
        <v>0.02</v>
      </c>
      <c r="N38" s="41">
        <v>2.3333333333333334E-2</v>
      </c>
      <c r="O38" s="41">
        <v>2.6666666666666668E-2</v>
      </c>
      <c r="P38" s="41">
        <v>3.0000000000000002E-2</v>
      </c>
      <c r="Q38" s="41">
        <v>3.3333333333333333E-2</v>
      </c>
      <c r="R38" s="41">
        <v>3.6666666666666667E-2</v>
      </c>
      <c r="S38" s="41">
        <v>0.04</v>
      </c>
      <c r="T38" s="41">
        <v>4.3333333333333335E-2</v>
      </c>
      <c r="U38" s="41">
        <v>4.6666666666666669E-2</v>
      </c>
      <c r="V38" s="41">
        <v>0.05</v>
      </c>
      <c r="W38" s="41">
        <v>5.3333333333333337E-2</v>
      </c>
      <c r="X38" s="41">
        <v>5.6666666666666671E-2</v>
      </c>
      <c r="Y38" s="41">
        <v>6.0000000000000005E-2</v>
      </c>
      <c r="Z38" s="41">
        <v>6.3333333333333339E-2</v>
      </c>
      <c r="AA38" s="41">
        <v>6.6666666666666666E-2</v>
      </c>
      <c r="AB38" s="41">
        <v>7.0000000000000007E-2</v>
      </c>
      <c r="AC38" s="41">
        <v>7.3333333333333334E-2</v>
      </c>
      <c r="AD38" s="41">
        <v>7.6666666666666675E-2</v>
      </c>
      <c r="AE38" s="41">
        <v>0.08</v>
      </c>
      <c r="AF38" s="41">
        <v>8.3333333333333343E-2</v>
      </c>
      <c r="AG38" s="41">
        <v>8.666666666666667E-2</v>
      </c>
      <c r="AH38" s="41">
        <v>9.0000000000000011E-2</v>
      </c>
      <c r="AI38" s="41">
        <v>9.3333333333333338E-2</v>
      </c>
      <c r="AJ38" s="41">
        <v>9.6666666666666679E-2</v>
      </c>
      <c r="AK38" s="41">
        <v>0.1</v>
      </c>
      <c r="AL38" s="34" t="s">
        <v>38</v>
      </c>
      <c r="AM38" s="40" t="s">
        <v>36</v>
      </c>
      <c r="AN38" s="40">
        <v>0</v>
      </c>
      <c r="AO38" s="41">
        <v>3.3333333333333335E-3</v>
      </c>
      <c r="AP38" s="41">
        <v>6.6666666666666671E-3</v>
      </c>
      <c r="AQ38" s="41">
        <v>0.01</v>
      </c>
      <c r="AR38" s="41">
        <v>1.3333333333333334E-2</v>
      </c>
      <c r="AS38" s="41">
        <v>1.6666666666666666E-2</v>
      </c>
      <c r="AT38" s="41">
        <v>0.02</v>
      </c>
      <c r="AU38" s="41">
        <v>2.3333333333333334E-2</v>
      </c>
      <c r="AV38" s="41">
        <v>2.6666666666666668E-2</v>
      </c>
      <c r="AW38" s="41">
        <v>3.0000000000000002E-2</v>
      </c>
      <c r="AX38" s="41">
        <v>3.3333333333333333E-2</v>
      </c>
      <c r="AY38" s="41">
        <v>3.6666666666666667E-2</v>
      </c>
      <c r="AZ38" s="41">
        <v>0.04</v>
      </c>
      <c r="BA38" s="41">
        <v>4.3333333333333335E-2</v>
      </c>
      <c r="BB38" s="41">
        <v>4.6666666666666669E-2</v>
      </c>
      <c r="BC38" s="41">
        <v>0.05</v>
      </c>
      <c r="BD38" s="41">
        <v>5.3333333333333337E-2</v>
      </c>
      <c r="BE38" s="41">
        <v>5.6666666666666671E-2</v>
      </c>
      <c r="BF38" s="41">
        <v>6.0000000000000005E-2</v>
      </c>
      <c r="BG38" s="41">
        <v>6.3333333333333339E-2</v>
      </c>
      <c r="BH38" s="41">
        <v>6.6666666666666666E-2</v>
      </c>
      <c r="BI38" s="41">
        <v>7.0000000000000007E-2</v>
      </c>
      <c r="BJ38" s="41">
        <v>7.3333333333333334E-2</v>
      </c>
      <c r="BK38" s="41">
        <v>7.6666666666666675E-2</v>
      </c>
      <c r="BL38" s="41">
        <v>0.08</v>
      </c>
      <c r="BM38" s="41">
        <v>8.3333333333333343E-2</v>
      </c>
      <c r="BN38" s="41">
        <v>8.666666666666667E-2</v>
      </c>
      <c r="BO38" s="41">
        <v>9.0000000000000011E-2</v>
      </c>
      <c r="BP38" s="41">
        <v>9.3333333333333338E-2</v>
      </c>
      <c r="BQ38" s="41">
        <v>9.6666666666666679E-2</v>
      </c>
      <c r="BR38" s="41">
        <v>0.1</v>
      </c>
      <c r="BT38" s="34" t="s">
        <v>40</v>
      </c>
      <c r="BU38" s="40" t="s">
        <v>36</v>
      </c>
      <c r="BV38" s="40">
        <v>0</v>
      </c>
      <c r="BW38" s="41">
        <v>3.3333333333333335E-3</v>
      </c>
      <c r="BX38" s="41">
        <v>6.6666666666666671E-3</v>
      </c>
      <c r="BY38" s="41">
        <v>0.01</v>
      </c>
      <c r="BZ38" s="41">
        <v>1.3333333333333334E-2</v>
      </c>
      <c r="CA38" s="41">
        <v>1.6666666666666666E-2</v>
      </c>
      <c r="CB38" s="41">
        <v>0.02</v>
      </c>
      <c r="CC38" s="41">
        <v>2.3333333333333334E-2</v>
      </c>
      <c r="CD38" s="41">
        <v>2.6666666666666668E-2</v>
      </c>
      <c r="CE38" s="41">
        <v>3.0000000000000002E-2</v>
      </c>
      <c r="CF38" s="41">
        <v>3.3333333333333333E-2</v>
      </c>
      <c r="CG38" s="41">
        <v>3.6666666666666667E-2</v>
      </c>
      <c r="CH38" s="41">
        <v>0.04</v>
      </c>
      <c r="CI38" s="41">
        <v>4.3333333333333335E-2</v>
      </c>
      <c r="CJ38" s="41">
        <v>4.6666666666666669E-2</v>
      </c>
      <c r="CK38" s="41">
        <v>0.05</v>
      </c>
      <c r="CL38" s="41">
        <v>5.3333333333333337E-2</v>
      </c>
      <c r="CM38" s="41">
        <v>5.6666666666666671E-2</v>
      </c>
      <c r="CN38" s="41">
        <v>6.0000000000000005E-2</v>
      </c>
      <c r="CO38" s="41">
        <v>6.3333333333333339E-2</v>
      </c>
      <c r="CP38" s="41">
        <v>6.6666666666666666E-2</v>
      </c>
      <c r="CQ38" s="41">
        <v>7.0000000000000007E-2</v>
      </c>
      <c r="CR38" s="41">
        <v>7.3333333333333334E-2</v>
      </c>
      <c r="CS38" s="41">
        <v>7.6666666666666675E-2</v>
      </c>
      <c r="CT38" s="41">
        <v>0.08</v>
      </c>
      <c r="CU38" s="41">
        <v>8.3333333333333343E-2</v>
      </c>
      <c r="CV38" s="41">
        <v>8.666666666666667E-2</v>
      </c>
      <c r="CW38" s="41">
        <v>9.0000000000000011E-2</v>
      </c>
      <c r="CX38" s="41">
        <v>9.3333333333333338E-2</v>
      </c>
      <c r="CY38" s="41">
        <v>9.6666666666666679E-2</v>
      </c>
      <c r="CZ38" s="41">
        <v>0.1</v>
      </c>
      <c r="DB38" s="34" t="s">
        <v>39</v>
      </c>
      <c r="DC38" s="40" t="s">
        <v>36</v>
      </c>
      <c r="DD38" s="40">
        <v>0</v>
      </c>
      <c r="DE38" s="41">
        <v>3.3333333333333335E-3</v>
      </c>
      <c r="DF38" s="41">
        <v>6.6666666666666671E-3</v>
      </c>
      <c r="DG38" s="41">
        <v>0.01</v>
      </c>
      <c r="DH38" s="41">
        <v>1.3333333333333334E-2</v>
      </c>
      <c r="DI38" s="41">
        <v>1.6666666666666666E-2</v>
      </c>
      <c r="DJ38" s="41">
        <v>0.02</v>
      </c>
      <c r="DK38" s="41">
        <v>2.3333333333333334E-2</v>
      </c>
      <c r="DL38" s="41">
        <v>2.6666666666666668E-2</v>
      </c>
      <c r="DM38" s="41">
        <v>3.0000000000000002E-2</v>
      </c>
      <c r="DN38" s="41">
        <v>3.3333333333333333E-2</v>
      </c>
      <c r="DO38" s="41">
        <v>3.6666666666666667E-2</v>
      </c>
      <c r="DP38" s="41">
        <v>0.04</v>
      </c>
      <c r="DQ38" s="41">
        <v>4.3333333333333335E-2</v>
      </c>
      <c r="DR38" s="41">
        <v>4.6666666666666669E-2</v>
      </c>
      <c r="DS38" s="41">
        <v>0.05</v>
      </c>
      <c r="DT38" s="41">
        <v>5.3333333333333337E-2</v>
      </c>
      <c r="DU38" s="41">
        <v>5.6666666666666671E-2</v>
      </c>
      <c r="DV38" s="41">
        <v>6.0000000000000005E-2</v>
      </c>
      <c r="DW38" s="41">
        <v>6.3333333333333339E-2</v>
      </c>
      <c r="DX38" s="41">
        <v>6.6666666666666666E-2</v>
      </c>
      <c r="DY38" s="41">
        <v>7.0000000000000007E-2</v>
      </c>
      <c r="DZ38" s="41">
        <v>7.3333333333333334E-2</v>
      </c>
      <c r="EA38" s="41">
        <v>7.6666666666666675E-2</v>
      </c>
      <c r="EB38" s="41">
        <v>0.08</v>
      </c>
      <c r="EC38" s="41">
        <v>8.3333333333333343E-2</v>
      </c>
      <c r="ED38" s="41">
        <v>8.666666666666667E-2</v>
      </c>
      <c r="EE38" s="41">
        <v>9.0000000000000011E-2</v>
      </c>
      <c r="EF38" s="41">
        <v>9.3333333333333338E-2</v>
      </c>
      <c r="EG38" s="41">
        <v>9.6666666666666679E-2</v>
      </c>
      <c r="EH38" s="41">
        <v>0.1</v>
      </c>
    </row>
    <row r="39" spans="5:138" x14ac:dyDescent="0.25">
      <c r="E39" s="32"/>
      <c r="F39" s="41">
        <v>0.1</v>
      </c>
      <c r="G39" s="33">
        <f>$B$16</f>
        <v>300</v>
      </c>
      <c r="H39" s="36">
        <f>BW39*I39+DE39</f>
        <v>293.92490038699788</v>
      </c>
      <c r="I39" s="36">
        <f t="shared" ref="I39:AI39" si="6">BX39*J39+DF39</f>
        <v>287.84330489267461</v>
      </c>
      <c r="J39" s="36">
        <f t="shared" si="6"/>
        <v>281.74878944331039</v>
      </c>
      <c r="K39" s="36">
        <f t="shared" si="6"/>
        <v>275.63507276564496</v>
      </c>
      <c r="L39" s="36">
        <f t="shared" si="6"/>
        <v>269.49608576041544</v>
      </c>
      <c r="M39" s="36">
        <f t="shared" si="6"/>
        <v>263.32603847215705</v>
      </c>
      <c r="N39" s="36">
        <f t="shared" si="6"/>
        <v>257.11948390068443</v>
      </c>
      <c r="O39" s="36">
        <f t="shared" si="6"/>
        <v>250.87137793868573</v>
      </c>
      <c r="P39" s="36">
        <f t="shared" si="6"/>
        <v>244.57713476743936</v>
      </c>
      <c r="Q39" s="36">
        <f t="shared" si="6"/>
        <v>238.23267709805009</v>
      </c>
      <c r="R39" s="36">
        <f t="shared" si="6"/>
        <v>231.83448070794341</v>
      </c>
      <c r="S39" s="36">
        <f t="shared" si="6"/>
        <v>225.37961279070544</v>
      </c>
      <c r="T39" s="36">
        <f t="shared" si="6"/>
        <v>218.86576371071106</v>
      </c>
      <c r="U39" s="36">
        <f t="shared" si="6"/>
        <v>212.29127183128884</v>
      </c>
      <c r="V39" s="36">
        <f t="shared" si="6"/>
        <v>205.65514116536832</v>
      </c>
      <c r="W39" s="36">
        <f t="shared" si="6"/>
        <v>198.95705167956828</v>
      </c>
      <c r="X39" s="36">
        <f t="shared" si="6"/>
        <v>192.19736216548</v>
      </c>
      <c r="Y39" s="36">
        <f t="shared" si="6"/>
        <v>185.37710567446589</v>
      </c>
      <c r="Z39" s="36">
        <f t="shared" si="6"/>
        <v>178.49797759368485</v>
      </c>
      <c r="AA39" s="36">
        <f t="shared" si="6"/>
        <v>171.5623165203877</v>
      </c>
      <c r="AB39" s="36">
        <f t="shared" si="6"/>
        <v>164.57307816799008</v>
      </c>
      <c r="AC39" s="36">
        <f t="shared" si="6"/>
        <v>157.53380261029849</v>
      </c>
      <c r="AD39" s="36">
        <f t="shared" si="6"/>
        <v>150.44857523889385</v>
      </c>
      <c r="AE39" s="36">
        <f t="shared" si="6"/>
        <v>143.32198187250998</v>
      </c>
      <c r="AF39" s="36">
        <f t="shared" si="6"/>
        <v>136.15905851579498</v>
      </c>
      <c r="AG39" s="36">
        <f t="shared" si="6"/>
        <v>128.96523631771851</v>
      </c>
      <c r="AH39" s="36">
        <f t="shared" si="6"/>
        <v>121.74628232675079</v>
      </c>
      <c r="AI39" s="36">
        <f t="shared" si="6"/>
        <v>114.50823668052681</v>
      </c>
      <c r="AJ39" s="36">
        <f>CY39*AK39+EG39</f>
        <v>107.2573469018071</v>
      </c>
      <c r="AK39" s="33">
        <f>$B$17</f>
        <v>100</v>
      </c>
      <c r="AL39" s="34"/>
      <c r="AM39" s="30">
        <v>0.1</v>
      </c>
      <c r="AN39" s="37">
        <f>-($B$12*$B$11)/$B$8*G3</f>
        <v>-1076400000</v>
      </c>
      <c r="AO39" s="37">
        <f t="shared" ref="AO39:BR39" si="7">-($B$12*$B$11)/$B$8*H3</f>
        <v>-1054629435.537218</v>
      </c>
      <c r="AP39" s="37">
        <f t="shared" si="7"/>
        <v>-1032835266.5687863</v>
      </c>
      <c r="AQ39" s="37">
        <f t="shared" si="7"/>
        <v>-1010994149.6077644</v>
      </c>
      <c r="AR39" s="37">
        <f t="shared" si="7"/>
        <v>-989083260.23924983</v>
      </c>
      <c r="AS39" s="37">
        <f t="shared" si="7"/>
        <v>-967080545.2801106</v>
      </c>
      <c r="AT39" s="37">
        <f t="shared" si="7"/>
        <v>-944964966.19060659</v>
      </c>
      <c r="AU39" s="37">
        <f t="shared" si="7"/>
        <v>-922716730.99243343</v>
      </c>
      <c r="AV39" s="37">
        <f t="shared" si="7"/>
        <v>-900317512.09029031</v>
      </c>
      <c r="AW39" s="37">
        <f t="shared" si="7"/>
        <v>-877750647.56788421</v>
      </c>
      <c r="AX39" s="37">
        <f t="shared" si="7"/>
        <v>-855001323.73157394</v>
      </c>
      <c r="AY39" s="37">
        <f t="shared" si="7"/>
        <v>-832056736.90242445</v>
      </c>
      <c r="AZ39" s="37">
        <f t="shared" si="7"/>
        <v>-808906232.70686293</v>
      </c>
      <c r="BA39" s="37">
        <f t="shared" si="7"/>
        <v>-785541421.38366246</v>
      </c>
      <c r="BB39" s="37">
        <f t="shared" si="7"/>
        <v>-761956267.90676737</v>
      </c>
      <c r="BC39" s="37">
        <f t="shared" si="7"/>
        <v>-738147156.01564276</v>
      </c>
      <c r="BD39" s="37">
        <f t="shared" si="7"/>
        <v>-714112925.54340422</v>
      </c>
      <c r="BE39" s="37">
        <f t="shared" si="7"/>
        <v>-689854882.73421526</v>
      </c>
      <c r="BF39" s="37">
        <f t="shared" si="7"/>
        <v>-665376783.54161918</v>
      </c>
      <c r="BG39" s="37">
        <f t="shared" si="7"/>
        <v>-640684790.19515812</v>
      </c>
      <c r="BH39" s="37">
        <f t="shared" si="7"/>
        <v>-615787401.6106267</v>
      </c>
      <c r="BI39" s="37">
        <f t="shared" si="7"/>
        <v>-590695358.49666572</v>
      </c>
      <c r="BJ39" s="37">
        <f t="shared" si="7"/>
        <v>-565421524.27452314</v>
      </c>
      <c r="BK39" s="37">
        <f t="shared" si="7"/>
        <v>-539980743.17636526</v>
      </c>
      <c r="BL39" s="37">
        <f t="shared" si="7"/>
        <v>-514389677.11853683</v>
      </c>
      <c r="BM39" s="37">
        <f t="shared" si="7"/>
        <v>-488666623.15790927</v>
      </c>
      <c r="BN39" s="37">
        <f t="shared" si="7"/>
        <v>-462831313.53054368</v>
      </c>
      <c r="BO39" s="37">
        <f t="shared" si="7"/>
        <v>-436904700.44114304</v>
      </c>
      <c r="BP39" s="37">
        <f t="shared" si="7"/>
        <v>-410908727.9182626</v>
      </c>
      <c r="BQ39" s="37">
        <f t="shared" si="7"/>
        <v>-384866093.17326558</v>
      </c>
      <c r="BR39" s="37">
        <f t="shared" si="7"/>
        <v>-358800000</v>
      </c>
      <c r="BT39" s="34"/>
      <c r="BU39" s="41">
        <v>0.1</v>
      </c>
      <c r="BV39" s="37">
        <v>0</v>
      </c>
      <c r="BW39" s="37">
        <f>$B$20/($B$21-$B$22*BV39)</f>
        <v>0.34883720930232553</v>
      </c>
      <c r="BX39" s="37">
        <f t="shared" ref="BX39:CY39" si="8">$B$20/($B$21-$B$22*BW39)</f>
        <v>0.39716748768472904</v>
      </c>
      <c r="BY39" s="37">
        <f t="shared" si="8"/>
        <v>0.40494040593779607</v>
      </c>
      <c r="BZ39" s="37">
        <f t="shared" si="8"/>
        <v>0.4062190081621499</v>
      </c>
      <c r="CA39" s="37">
        <f t="shared" si="8"/>
        <v>0.40643010492156101</v>
      </c>
      <c r="CB39" s="37">
        <f t="shared" si="8"/>
        <v>0.40646497802255066</v>
      </c>
      <c r="CC39" s="37">
        <f t="shared" si="8"/>
        <v>0.40647073962099717</v>
      </c>
      <c r="CD39" s="37">
        <f t="shared" si="8"/>
        <v>0.40647169154566137</v>
      </c>
      <c r="CE39" s="37">
        <f t="shared" si="8"/>
        <v>0.40647184882198806</v>
      </c>
      <c r="CF39" s="37">
        <f t="shared" si="8"/>
        <v>0.40647187480708435</v>
      </c>
      <c r="CG39" s="37">
        <f t="shared" si="8"/>
        <v>0.40647187910032606</v>
      </c>
      <c r="CH39" s="37">
        <f t="shared" si="8"/>
        <v>0.40647187980965277</v>
      </c>
      <c r="CI39" s="37">
        <f t="shared" si="8"/>
        <v>0.4064718799268473</v>
      </c>
      <c r="CJ39" s="37">
        <f t="shared" si="8"/>
        <v>0.40647187994621015</v>
      </c>
      <c r="CK39" s="37">
        <f t="shared" si="8"/>
        <v>0.40647187994940925</v>
      </c>
      <c r="CL39" s="37">
        <f t="shared" si="8"/>
        <v>0.40647187994993778</v>
      </c>
      <c r="CM39" s="37">
        <f t="shared" si="8"/>
        <v>0.40647187995002515</v>
      </c>
      <c r="CN39" s="37">
        <f t="shared" si="8"/>
        <v>0.40647187995003953</v>
      </c>
      <c r="CO39" s="37">
        <f t="shared" si="8"/>
        <v>0.40647187995004191</v>
      </c>
      <c r="CP39" s="37">
        <f t="shared" si="8"/>
        <v>0.40647187995004236</v>
      </c>
      <c r="CQ39" s="37">
        <f t="shared" si="8"/>
        <v>0.40647187995004236</v>
      </c>
      <c r="CR39" s="37">
        <f t="shared" si="8"/>
        <v>0.40647187995004236</v>
      </c>
      <c r="CS39" s="37">
        <f t="shared" si="8"/>
        <v>0.40647187995004236</v>
      </c>
      <c r="CT39" s="37">
        <f t="shared" si="8"/>
        <v>0.40647187995004236</v>
      </c>
      <c r="CU39" s="37">
        <f t="shared" si="8"/>
        <v>0.40647187995004236</v>
      </c>
      <c r="CV39" s="37">
        <f t="shared" si="8"/>
        <v>0.40647187995004236</v>
      </c>
      <c r="CW39" s="37">
        <f t="shared" si="8"/>
        <v>0.40647187995004236</v>
      </c>
      <c r="CX39" s="37">
        <f t="shared" si="8"/>
        <v>0.40647187995004236</v>
      </c>
      <c r="CY39" s="37">
        <f t="shared" si="8"/>
        <v>0.40647187995004236</v>
      </c>
      <c r="CZ39" s="29">
        <f>$B$17</f>
        <v>100</v>
      </c>
      <c r="DB39" s="34"/>
      <c r="DC39" s="41">
        <v>0.1</v>
      </c>
      <c r="DD39" s="37">
        <f>G3</f>
        <v>300</v>
      </c>
      <c r="DE39" s="37">
        <f>(DD39*$B$22-AO39)/($B$21-$B$22*BV39)</f>
        <v>193.51444519187882</v>
      </c>
      <c r="DF39" s="37">
        <f t="shared" ref="DF39:EH39" si="9">(DE39*$B$22-AP39)/($B$21-$B$22*BW39)</f>
        <v>175.94184603126135</v>
      </c>
      <c r="DG39" s="37">
        <f t="shared" si="9"/>
        <v>170.13301118689614</v>
      </c>
      <c r="DH39" s="37">
        <f t="shared" si="9"/>
        <v>166.16064010446732</v>
      </c>
      <c r="DI39" s="37">
        <f t="shared" si="9"/>
        <v>162.47245631559767</v>
      </c>
      <c r="DJ39" s="37">
        <f t="shared" si="9"/>
        <v>158.8159730992958</v>
      </c>
      <c r="DK39" s="37">
        <f t="shared" si="9"/>
        <v>155.14760936020815</v>
      </c>
      <c r="DL39" s="37">
        <f t="shared" si="9"/>
        <v>151.45769625637348</v>
      </c>
      <c r="DM39" s="37">
        <f t="shared" si="9"/>
        <v>147.74225805758326</v>
      </c>
      <c r="DN39" s="37">
        <f t="shared" si="9"/>
        <v>143.9984810797655</v>
      </c>
      <c r="DO39" s="37">
        <f t="shared" si="9"/>
        <v>140.22400598600149</v>
      </c>
      <c r="DP39" s="37">
        <f t="shared" si="9"/>
        <v>136.41683438923744</v>
      </c>
      <c r="DQ39" s="37">
        <f t="shared" si="9"/>
        <v>132.57533135738572</v>
      </c>
      <c r="DR39" s="37">
        <f t="shared" si="9"/>
        <v>128.69823998119836</v>
      </c>
      <c r="DS39" s="37">
        <f t="shared" si="9"/>
        <v>124.78469433998244</v>
      </c>
      <c r="DT39" s="37">
        <f t="shared" si="9"/>
        <v>120.83422855874656</v>
      </c>
      <c r="DU39" s="37">
        <f t="shared" si="9"/>
        <v>116.84678152228537</v>
      </c>
      <c r="DV39" s="37">
        <f t="shared" si="9"/>
        <v>112.8226971546808</v>
      </c>
      <c r="DW39" s="37">
        <f t="shared" si="9"/>
        <v>108.76272026905873</v>
      </c>
      <c r="DX39" s="37">
        <f t="shared" si="9"/>
        <v>104.66798804827948</v>
      </c>
      <c r="DY39" s="37">
        <f t="shared" si="9"/>
        <v>100.54001726530316</v>
      </c>
      <c r="DZ39" s="37">
        <f t="shared" si="9"/>
        <v>96.380687397139909</v>
      </c>
      <c r="EA39" s="37">
        <f t="shared" si="9"/>
        <v>92.19221982900882</v>
      </c>
      <c r="EB39" s="37">
        <f t="shared" si="9"/>
        <v>87.977153385366961</v>
      </c>
      <c r="EC39" s="37">
        <f t="shared" si="9"/>
        <v>83.738316461530474</v>
      </c>
      <c r="ED39" s="37">
        <f t="shared" si="9"/>
        <v>79.478796063435482</v>
      </c>
      <c r="EE39" s="37">
        <f t="shared" si="9"/>
        <v>75.201904093452669</v>
      </c>
      <c r="EF39" s="37">
        <f t="shared" si="9"/>
        <v>70.911141246895426</v>
      </c>
      <c r="EG39" s="37">
        <f t="shared" si="9"/>
        <v>66.610158906802852</v>
      </c>
      <c r="EH39" s="37">
        <f t="shared" si="9"/>
        <v>62.302719443622898</v>
      </c>
    </row>
    <row r="40" spans="5:138" x14ac:dyDescent="0.25">
      <c r="E40" s="32"/>
      <c r="F40" s="41">
        <v>9.6666666666666679E-2</v>
      </c>
      <c r="G40" s="33">
        <f t="shared" ref="G40:G69" si="10">$B$16</f>
        <v>300</v>
      </c>
      <c r="H40" s="35">
        <f t="shared" ref="H40:H69" si="11">BW40*I40+DE40</f>
        <v>293.92490038699788</v>
      </c>
      <c r="I40" s="35">
        <f t="shared" ref="I40:I69" si="12">BX40*J40+DF40</f>
        <v>287.84330489267461</v>
      </c>
      <c r="J40" s="35">
        <f t="shared" ref="J40:J69" si="13">BY40*K40+DG40</f>
        <v>281.74878944331039</v>
      </c>
      <c r="K40" s="35">
        <f t="shared" ref="K40:K69" si="14">BZ40*L40+DH40</f>
        <v>275.63507276564496</v>
      </c>
      <c r="L40" s="35">
        <f t="shared" ref="L40:L69" si="15">CA40*M40+DI40</f>
        <v>269.49608576041544</v>
      </c>
      <c r="M40" s="35">
        <f t="shared" ref="M40:M69" si="16">CB40*N40+DJ40</f>
        <v>263.32603847215705</v>
      </c>
      <c r="N40" s="35">
        <f t="shared" ref="N40:N69" si="17">CC40*O40+DK40</f>
        <v>257.11948390068443</v>
      </c>
      <c r="O40" s="35">
        <f t="shared" ref="O40:O69" si="18">CD40*P40+DL40</f>
        <v>250.87137793868573</v>
      </c>
      <c r="P40" s="35">
        <f t="shared" ref="P40:P69" si="19">CE40*Q40+DM40</f>
        <v>244.57713476743936</v>
      </c>
      <c r="Q40" s="35">
        <f t="shared" ref="Q40:Q69" si="20">CF40*R40+DN40</f>
        <v>238.23267709805009</v>
      </c>
      <c r="R40" s="35">
        <f t="shared" ref="R40:R69" si="21">CG40*S40+DO40</f>
        <v>231.83448070794344</v>
      </c>
      <c r="S40" s="35">
        <f t="shared" ref="S40:S69" si="22">CH40*T40+DP40</f>
        <v>225.37961279070549</v>
      </c>
      <c r="T40" s="35">
        <f t="shared" ref="T40:T69" si="23">CI40*U40+DQ40</f>
        <v>218.86576371071106</v>
      </c>
      <c r="U40" s="35">
        <f t="shared" ref="U40:U69" si="24">CJ40*V40+DR40</f>
        <v>212.29127183128884</v>
      </c>
      <c r="V40" s="35">
        <f t="shared" ref="V40:V69" si="25">CK40*W40+DS40</f>
        <v>205.65514116536832</v>
      </c>
      <c r="W40" s="35">
        <f t="shared" ref="W40:W69" si="26">CL40*X40+DT40</f>
        <v>198.95705167956828</v>
      </c>
      <c r="X40" s="35">
        <f t="shared" ref="X40:X69" si="27">CM40*Y40+DU40</f>
        <v>192.19736216548006</v>
      </c>
      <c r="Y40" s="35">
        <f t="shared" ref="Y40:Y69" si="28">CN40*Z40+DV40</f>
        <v>185.37710567446595</v>
      </c>
      <c r="Z40" s="35">
        <f t="shared" ref="Z40:Z69" si="29">CO40*AA40+DW40</f>
        <v>178.49797759368488</v>
      </c>
      <c r="AA40" s="35">
        <f t="shared" ref="AA40:AA69" si="30">CP40*AB40+DX40</f>
        <v>171.5623165203877</v>
      </c>
      <c r="AB40" s="35">
        <f t="shared" ref="AB40:AB69" si="31">CQ40*AC40+DY40</f>
        <v>164.57307816799008</v>
      </c>
      <c r="AC40" s="35">
        <f t="shared" ref="AC40:AC69" si="32">CR40*AD40+DZ40</f>
        <v>157.53380261029849</v>
      </c>
      <c r="AD40" s="35">
        <f t="shared" ref="AD40:AD69" si="33">CS40*AE40+EA40</f>
        <v>150.44857523889385</v>
      </c>
      <c r="AE40" s="35">
        <f t="shared" ref="AE40:AE69" si="34">CT40*AF40+EB40</f>
        <v>143.32198187250998</v>
      </c>
      <c r="AF40" s="35">
        <f t="shared" ref="AF40:AF69" si="35">CU40*AG40+EC40</f>
        <v>136.15905851579498</v>
      </c>
      <c r="AG40" s="35">
        <f t="shared" ref="AG40:AG69" si="36">CV40*AH40+ED40</f>
        <v>128.96523631771851</v>
      </c>
      <c r="AH40" s="35">
        <f t="shared" ref="AH40:AH69" si="37">CW40*AI40+EE40</f>
        <v>121.74628232675079</v>
      </c>
      <c r="AI40" s="35">
        <f t="shared" ref="AI40:AJ55" si="38">CX40*AJ40+EF40</f>
        <v>114.50823668052681</v>
      </c>
      <c r="AJ40" s="35">
        <f t="shared" si="38"/>
        <v>107.2573469018071</v>
      </c>
      <c r="AK40" s="33">
        <f t="shared" ref="AK40:AK69" si="39">$B$17</f>
        <v>100</v>
      </c>
      <c r="AL40" s="34"/>
      <c r="AM40" s="30">
        <v>9.6666666666666679E-2</v>
      </c>
      <c r="AN40" s="37">
        <f t="shared" ref="AN40:AN69" si="40">-($B$12*$B$11)/$B$8*G4</f>
        <v>-1076400000</v>
      </c>
      <c r="AO40" s="38">
        <f>-($B$12*$B$11)/$B$8*H4</f>
        <v>-1054629435.537218</v>
      </c>
      <c r="AP40" s="38">
        <f t="shared" ref="AP40:AP69" si="41">-($B$12*$B$11)/$B$8*I4</f>
        <v>-1032835266.5687863</v>
      </c>
      <c r="AQ40" s="38">
        <f t="shared" ref="AQ40:AQ69" si="42">-($B$12*$B$11)/$B$8*J4</f>
        <v>-1010994149.6077644</v>
      </c>
      <c r="AR40" s="38">
        <f t="shared" ref="AR40:AR69" si="43">-($B$12*$B$11)/$B$8*K4</f>
        <v>-989083260.23924983</v>
      </c>
      <c r="AS40" s="38">
        <f t="shared" ref="AS40:AS69" si="44">-($B$12*$B$11)/$B$8*L4</f>
        <v>-967080545.2801106</v>
      </c>
      <c r="AT40" s="38">
        <f t="shared" ref="AT40:AT69" si="45">-($B$12*$B$11)/$B$8*M4</f>
        <v>-944964966.19060659</v>
      </c>
      <c r="AU40" s="38">
        <f t="shared" ref="AU40:AU69" si="46">-($B$12*$B$11)/$B$8*N4</f>
        <v>-922716730.99243343</v>
      </c>
      <c r="AV40" s="38">
        <f t="shared" ref="AV40:AV69" si="47">-($B$12*$B$11)/$B$8*O4</f>
        <v>-900317512.09029031</v>
      </c>
      <c r="AW40" s="38">
        <f t="shared" ref="AW40:AW69" si="48">-($B$12*$B$11)/$B$8*P4</f>
        <v>-877750647.56788421</v>
      </c>
      <c r="AX40" s="38">
        <f t="shared" ref="AX40:AX69" si="49">-($B$12*$B$11)/$B$8*Q4</f>
        <v>-855001323.73157394</v>
      </c>
      <c r="AY40" s="38">
        <f t="shared" ref="AY40:AY69" si="50">-($B$12*$B$11)/$B$8*R4</f>
        <v>-832056736.90242457</v>
      </c>
      <c r="AZ40" s="38">
        <f t="shared" ref="AZ40:AZ69" si="51">-($B$12*$B$11)/$B$8*S4</f>
        <v>-808906232.70686293</v>
      </c>
      <c r="BA40" s="38">
        <f t="shared" ref="BA40:BA69" si="52">-($B$12*$B$11)/$B$8*T4</f>
        <v>-785541421.38366246</v>
      </c>
      <c r="BB40" s="38">
        <f t="shared" ref="BB40:BB69" si="53">-($B$12*$B$11)/$B$8*U4</f>
        <v>-761956267.90676749</v>
      </c>
      <c r="BC40" s="38">
        <f t="shared" ref="BC40:BC69" si="54">-($B$12*$B$11)/$B$8*V4</f>
        <v>-738147156.01564276</v>
      </c>
      <c r="BD40" s="38">
        <f t="shared" ref="BD40:BD69" si="55">-($B$12*$B$11)/$B$8*W4</f>
        <v>-714112925.54340434</v>
      </c>
      <c r="BE40" s="38">
        <f t="shared" ref="BE40:BE69" si="56">-($B$12*$B$11)/$B$8*X4</f>
        <v>-689854882.73421538</v>
      </c>
      <c r="BF40" s="38">
        <f t="shared" ref="BF40:BF69" si="57">-($B$12*$B$11)/$B$8*Y4</f>
        <v>-665376783.5416193</v>
      </c>
      <c r="BG40" s="38">
        <f t="shared" ref="BG40:BG69" si="58">-($B$12*$B$11)/$B$8*Z4</f>
        <v>-640684790.19515812</v>
      </c>
      <c r="BH40" s="38">
        <f t="shared" ref="BH40:BH69" si="59">-($B$12*$B$11)/$B$8*AA4</f>
        <v>-615787401.6106267</v>
      </c>
      <c r="BI40" s="38">
        <f t="shared" ref="BI40:BI69" si="60">-($B$12*$B$11)/$B$8*AB4</f>
        <v>-590695358.49666572</v>
      </c>
      <c r="BJ40" s="38">
        <f t="shared" ref="BJ40:BJ69" si="61">-($B$12*$B$11)/$B$8*AC4</f>
        <v>-565421524.27452326</v>
      </c>
      <c r="BK40" s="38">
        <f t="shared" ref="BK40:BK69" si="62">-($B$12*$B$11)/$B$8*AD4</f>
        <v>-539980743.17636526</v>
      </c>
      <c r="BL40" s="38">
        <f t="shared" ref="BL40:BL69" si="63">-($B$12*$B$11)/$B$8*AE4</f>
        <v>-514389677.11853683</v>
      </c>
      <c r="BM40" s="38">
        <f t="shared" ref="BM40:BM69" si="64">-($B$12*$B$11)/$B$8*AF4</f>
        <v>-488666623.15790927</v>
      </c>
      <c r="BN40" s="38">
        <f t="shared" ref="BN40:BN69" si="65">-($B$12*$B$11)/$B$8*AG4</f>
        <v>-462831313.53054368</v>
      </c>
      <c r="BO40" s="38">
        <f t="shared" ref="BO40:BO69" si="66">-($B$12*$B$11)/$B$8*AH4</f>
        <v>-436904700.44114304</v>
      </c>
      <c r="BP40" s="38">
        <f t="shared" ref="BP40:BP69" si="67">-($B$12*$B$11)/$B$8*AI4</f>
        <v>-410908727.91826266</v>
      </c>
      <c r="BQ40" s="38">
        <f t="shared" ref="BQ40:BQ69" si="68">-($B$12*$B$11)/$B$8*AJ4</f>
        <v>-384866093.17326558</v>
      </c>
      <c r="BR40" s="37">
        <f t="shared" ref="BR40:BR69" si="69">-($B$12*$B$11)/$B$8*AK4</f>
        <v>-358800000</v>
      </c>
      <c r="BT40" s="34"/>
      <c r="BU40" s="41">
        <v>9.6666666666666679E-2</v>
      </c>
      <c r="BV40" s="37">
        <v>0</v>
      </c>
      <c r="BW40" s="39">
        <f t="shared" ref="BW40:CY40" si="70">$B$20/($B$21-$B$22*BV40)</f>
        <v>0.34883720930232553</v>
      </c>
      <c r="BX40" s="39">
        <f t="shared" si="70"/>
        <v>0.39716748768472904</v>
      </c>
      <c r="BY40" s="39">
        <f t="shared" si="70"/>
        <v>0.40494040593779607</v>
      </c>
      <c r="BZ40" s="39">
        <f t="shared" si="70"/>
        <v>0.4062190081621499</v>
      </c>
      <c r="CA40" s="39">
        <f t="shared" si="70"/>
        <v>0.40643010492156101</v>
      </c>
      <c r="CB40" s="39">
        <f t="shared" si="70"/>
        <v>0.40646497802255066</v>
      </c>
      <c r="CC40" s="39">
        <f t="shared" si="70"/>
        <v>0.40647073962099717</v>
      </c>
      <c r="CD40" s="39">
        <f t="shared" si="70"/>
        <v>0.40647169154566137</v>
      </c>
      <c r="CE40" s="39">
        <f t="shared" si="70"/>
        <v>0.40647184882198806</v>
      </c>
      <c r="CF40" s="39">
        <f t="shared" si="70"/>
        <v>0.40647187480708435</v>
      </c>
      <c r="CG40" s="39">
        <f t="shared" si="70"/>
        <v>0.40647187910032606</v>
      </c>
      <c r="CH40" s="39">
        <f t="shared" si="70"/>
        <v>0.40647187980965277</v>
      </c>
      <c r="CI40" s="39">
        <f t="shared" si="70"/>
        <v>0.4064718799268473</v>
      </c>
      <c r="CJ40" s="39">
        <f t="shared" si="70"/>
        <v>0.40647187994621015</v>
      </c>
      <c r="CK40" s="39">
        <f t="shared" si="70"/>
        <v>0.40647187994940925</v>
      </c>
      <c r="CL40" s="39">
        <f t="shared" si="70"/>
        <v>0.40647187994993778</v>
      </c>
      <c r="CM40" s="39">
        <f t="shared" si="70"/>
        <v>0.40647187995002515</v>
      </c>
      <c r="CN40" s="39">
        <f t="shared" si="70"/>
        <v>0.40647187995003953</v>
      </c>
      <c r="CO40" s="39">
        <f t="shared" si="70"/>
        <v>0.40647187995004191</v>
      </c>
      <c r="CP40" s="39">
        <f t="shared" si="70"/>
        <v>0.40647187995004236</v>
      </c>
      <c r="CQ40" s="39">
        <f t="shared" si="70"/>
        <v>0.40647187995004236</v>
      </c>
      <c r="CR40" s="39">
        <f t="shared" si="70"/>
        <v>0.40647187995004236</v>
      </c>
      <c r="CS40" s="39">
        <f t="shared" si="70"/>
        <v>0.40647187995004236</v>
      </c>
      <c r="CT40" s="39">
        <f t="shared" si="70"/>
        <v>0.40647187995004236</v>
      </c>
      <c r="CU40" s="39">
        <f t="shared" si="70"/>
        <v>0.40647187995004236</v>
      </c>
      <c r="CV40" s="39">
        <f t="shared" si="70"/>
        <v>0.40647187995004236</v>
      </c>
      <c r="CW40" s="39">
        <f t="shared" si="70"/>
        <v>0.40647187995004236</v>
      </c>
      <c r="CX40" s="39">
        <f t="shared" si="70"/>
        <v>0.40647187995004236</v>
      </c>
      <c r="CY40" s="37">
        <f t="shared" si="70"/>
        <v>0.40647187995004236</v>
      </c>
      <c r="CZ40" s="29">
        <f t="shared" ref="CZ40:CZ69" si="71">$B$17</f>
        <v>100</v>
      </c>
      <c r="DB40" s="34"/>
      <c r="DC40" s="41">
        <v>9.6666666666666679E-2</v>
      </c>
      <c r="DD40" s="37">
        <f t="shared" ref="DD40:DD69" si="72">G4</f>
        <v>300</v>
      </c>
      <c r="DE40" s="39">
        <f t="shared" ref="DE40:DE69" si="73">(DD40*$B$22-AO40)/($B$21-$B$22*BV40)</f>
        <v>193.51444519187882</v>
      </c>
      <c r="DF40" s="39">
        <f t="shared" ref="DF40:DF69" si="74">(DE40*$B$22-AP40)/($B$21-$B$22*BW40)</f>
        <v>175.94184603126135</v>
      </c>
      <c r="DG40" s="39">
        <f t="shared" ref="DG40:DG69" si="75">(DF40*$B$22-AQ40)/($B$21-$B$22*BX40)</f>
        <v>170.13301118689614</v>
      </c>
      <c r="DH40" s="39">
        <f t="shared" ref="DH40:DH69" si="76">(DG40*$B$22-AR40)/($B$21-$B$22*BY40)</f>
        <v>166.16064010446732</v>
      </c>
      <c r="DI40" s="39">
        <f t="shared" ref="DI40:DI69" si="77">(DH40*$B$22-AS40)/($B$21-$B$22*BZ40)</f>
        <v>162.47245631559767</v>
      </c>
      <c r="DJ40" s="39">
        <f t="shared" ref="DJ40:DJ69" si="78">(DI40*$B$22-AT40)/($B$21-$B$22*CA40)</f>
        <v>158.8159730992958</v>
      </c>
      <c r="DK40" s="39">
        <f t="shared" ref="DK40:DK69" si="79">(DJ40*$B$22-AU40)/($B$21-$B$22*CB40)</f>
        <v>155.14760936020815</v>
      </c>
      <c r="DL40" s="39">
        <f t="shared" ref="DL40:DL69" si="80">(DK40*$B$22-AV40)/($B$21-$B$22*CC40)</f>
        <v>151.45769625637348</v>
      </c>
      <c r="DM40" s="39">
        <f t="shared" ref="DM40:DM69" si="81">(DL40*$B$22-AW40)/($B$21-$B$22*CD40)</f>
        <v>147.74225805758326</v>
      </c>
      <c r="DN40" s="39">
        <f t="shared" ref="DN40:DN69" si="82">(DM40*$B$22-AX40)/($B$21-$B$22*CE40)</f>
        <v>143.9984810797655</v>
      </c>
      <c r="DO40" s="39">
        <f t="shared" ref="DO40:DO69" si="83">(DN40*$B$22-AY40)/($B$21-$B$22*CF40)</f>
        <v>140.22400598600152</v>
      </c>
      <c r="DP40" s="39">
        <f t="shared" ref="DP40:DP69" si="84">(DO40*$B$22-AZ40)/($B$21-$B$22*CG40)</f>
        <v>136.41683438923747</v>
      </c>
      <c r="DQ40" s="39">
        <f t="shared" ref="DQ40:DQ69" si="85">(DP40*$B$22-BA40)/($B$21-$B$22*CH40)</f>
        <v>132.57533135738572</v>
      </c>
      <c r="DR40" s="39">
        <f t="shared" ref="DR40:DR69" si="86">(DQ40*$B$22-BB40)/($B$21-$B$22*CI40)</f>
        <v>128.69823998119836</v>
      </c>
      <c r="DS40" s="39">
        <f t="shared" ref="DS40:DS69" si="87">(DR40*$B$22-BC40)/($B$21-$B$22*CJ40)</f>
        <v>124.78469433998244</v>
      </c>
      <c r="DT40" s="39">
        <f t="shared" ref="DT40:DT69" si="88">(DS40*$B$22-BD40)/($B$21-$B$22*CK40)</f>
        <v>120.83422855874656</v>
      </c>
      <c r="DU40" s="39">
        <f t="shared" ref="DU40:DU69" si="89">(DT40*$B$22-BE40)/($B$21-$B$22*CL40)</f>
        <v>116.8467815222854</v>
      </c>
      <c r="DV40" s="39">
        <f t="shared" ref="DV40:DV69" si="90">(DU40*$B$22-BF40)/($B$21-$B$22*CM40)</f>
        <v>112.82269715468082</v>
      </c>
      <c r="DW40" s="39">
        <f t="shared" ref="DW40:DW69" si="91">(DV40*$B$22-BG40)/($B$21-$B$22*CN40)</f>
        <v>108.76272026905876</v>
      </c>
      <c r="DX40" s="39">
        <f t="shared" ref="DX40:DX69" si="92">(DW40*$B$22-BH40)/($B$21-$B$22*CO40)</f>
        <v>104.6679880482795</v>
      </c>
      <c r="DY40" s="39">
        <f t="shared" ref="DY40:DY69" si="93">(DX40*$B$22-BI40)/($B$21-$B$22*CP40)</f>
        <v>100.54001726530316</v>
      </c>
      <c r="DZ40" s="39">
        <f t="shared" ref="DZ40:DZ69" si="94">(DY40*$B$22-BJ40)/($B$21-$B$22*CQ40)</f>
        <v>96.380687397139909</v>
      </c>
      <c r="EA40" s="39">
        <f t="shared" ref="EA40:EA69" si="95">(DZ40*$B$22-BK40)/($B$21-$B$22*CR40)</f>
        <v>92.19221982900882</v>
      </c>
      <c r="EB40" s="39">
        <f t="shared" ref="EB40:EB69" si="96">(EA40*$B$22-BL40)/($B$21-$B$22*CS40)</f>
        <v>87.977153385366961</v>
      </c>
      <c r="EC40" s="39">
        <f t="shared" ref="EC40:EC69" si="97">(EB40*$B$22-BM40)/($B$21-$B$22*CT40)</f>
        <v>83.738316461530474</v>
      </c>
      <c r="ED40" s="39">
        <f t="shared" ref="ED40:ED69" si="98">(EC40*$B$22-BN40)/($B$21-$B$22*CU40)</f>
        <v>79.478796063435482</v>
      </c>
      <c r="EE40" s="39">
        <f t="shared" ref="EE40:EE69" si="99">(ED40*$B$22-BO40)/($B$21-$B$22*CV40)</f>
        <v>75.201904093452669</v>
      </c>
      <c r="EF40" s="39">
        <f t="shared" ref="EF40:EF69" si="100">(EE40*$B$22-BP40)/($B$21-$B$22*CW40)</f>
        <v>70.911141246895426</v>
      </c>
      <c r="EG40" s="39">
        <f t="shared" ref="EG40:EG69" si="101">(EF40*$B$22-BQ40)/($B$21-$B$22*CX40)</f>
        <v>66.610158906802852</v>
      </c>
      <c r="EH40" s="37">
        <f t="shared" ref="EH40:EH69" si="102">(EG40*$B$22-BR40)/($B$21-$B$22*CY40)</f>
        <v>62.302719443622898</v>
      </c>
    </row>
    <row r="41" spans="5:138" x14ac:dyDescent="0.25">
      <c r="E41" s="32"/>
      <c r="F41" s="41">
        <v>9.3333333333333338E-2</v>
      </c>
      <c r="G41" s="33">
        <f t="shared" si="10"/>
        <v>300</v>
      </c>
      <c r="H41" s="35">
        <f t="shared" si="11"/>
        <v>293.92479340207262</v>
      </c>
      <c r="I41" s="35">
        <f t="shared" si="12"/>
        <v>287.84309212791936</v>
      </c>
      <c r="J41" s="35">
        <f t="shared" si="13"/>
        <v>281.74847329426791</v>
      </c>
      <c r="K41" s="35">
        <f t="shared" si="14"/>
        <v>275.63465678923444</v>
      </c>
      <c r="L41" s="35">
        <f t="shared" si="15"/>
        <v>269.49557463187995</v>
      </c>
      <c r="M41" s="35">
        <f t="shared" si="16"/>
        <v>263.32543792868199</v>
      </c>
      <c r="N41" s="35">
        <f t="shared" si="17"/>
        <v>257.11880067253077</v>
      </c>
      <c r="O41" s="35">
        <f t="shared" si="18"/>
        <v>250.87061966885685</v>
      </c>
      <c r="P41" s="35">
        <f t="shared" si="19"/>
        <v>244.57630992105106</v>
      </c>
      <c r="Q41" s="35">
        <f t="shared" si="20"/>
        <v>238.23179486269942</v>
      </c>
      <c r="R41" s="35">
        <f t="shared" si="21"/>
        <v>231.83355088646937</v>
      </c>
      <c r="S41" s="35">
        <f t="shared" si="22"/>
        <v>225.37864568780452</v>
      </c>
      <c r="T41" s="35">
        <f t="shared" si="23"/>
        <v>218.86477001491136</v>
      </c>
      <c r="U41" s="35">
        <f t="shared" si="24"/>
        <v>212.29026249379956</v>
      </c>
      <c r="V41" s="35">
        <f t="shared" si="25"/>
        <v>205.65412727730762</v>
      </c>
      <c r="W41" s="35">
        <f t="shared" si="26"/>
        <v>198.95604434903566</v>
      </c>
      <c r="X41" s="35">
        <f t="shared" si="27"/>
        <v>192.1963723958801</v>
      </c>
      <c r="Y41" s="35">
        <f t="shared" si="28"/>
        <v>185.37614424541414</v>
      </c>
      <c r="Z41" s="35">
        <f t="shared" si="29"/>
        <v>178.49705494573496</v>
      </c>
      <c r="AA41" s="35">
        <f t="shared" si="30"/>
        <v>171.5614426447188</v>
      </c>
      <c r="AB41" s="35">
        <f t="shared" si="31"/>
        <v>164.57226250208305</v>
      </c>
      <c r="AC41" s="35">
        <f t="shared" si="32"/>
        <v>157.53305394051932</v>
      </c>
      <c r="AD41" s="35">
        <f t="shared" si="33"/>
        <v>150.44790161079015</v>
      </c>
      <c r="AE41" s="35">
        <f t="shared" si="34"/>
        <v>143.32139050951685</v>
      </c>
      <c r="AF41" s="35">
        <f t="shared" si="35"/>
        <v>136.1585557469422</v>
      </c>
      <c r="AG41" s="35">
        <f t="shared" si="36"/>
        <v>128.96482751483319</v>
      </c>
      <c r="AH41" s="35">
        <f t="shared" si="37"/>
        <v>121.74597185155852</v>
      </c>
      <c r="AI41" s="35">
        <f t="shared" si="38"/>
        <v>114.50802784197211</v>
      </c>
      <c r="AJ41" s="35">
        <f t="shared" ref="AJ41:AJ69" si="103">CY41*AK41+EG41</f>
        <v>107.25724192383893</v>
      </c>
      <c r="AK41" s="33">
        <f t="shared" si="39"/>
        <v>100</v>
      </c>
      <c r="AL41" s="34"/>
      <c r="AM41" s="30">
        <v>9.3333333333333338E-2</v>
      </c>
      <c r="AN41" s="37">
        <f t="shared" si="40"/>
        <v>-1076400000</v>
      </c>
      <c r="AO41" s="38">
        <f t="shared" ref="AO41:AO69" si="104">-($B$12*$B$11)/$B$8*H5</f>
        <v>-1054629046.6862117</v>
      </c>
      <c r="AP41" s="38">
        <f t="shared" si="41"/>
        <v>-1032834493.251297</v>
      </c>
      <c r="AQ41" s="38">
        <f t="shared" si="42"/>
        <v>-1010993000.5393552</v>
      </c>
      <c r="AR41" s="38">
        <f t="shared" si="43"/>
        <v>-989081748.36038244</v>
      </c>
      <c r="AS41" s="38">
        <f t="shared" si="44"/>
        <v>-967078687.59897745</v>
      </c>
      <c r="AT41" s="38">
        <f t="shared" si="45"/>
        <v>-944962783.5773375</v>
      </c>
      <c r="AU41" s="38">
        <f t="shared" si="46"/>
        <v>-922714247.92778409</v>
      </c>
      <c r="AV41" s="38">
        <f t="shared" si="47"/>
        <v>-900314756.37256455</v>
      </c>
      <c r="AW41" s="38">
        <f t="shared" si="48"/>
        <v>-877747649.98239112</v>
      </c>
      <c r="AX41" s="38">
        <f t="shared" si="49"/>
        <v>-854998117.6873821</v>
      </c>
      <c r="AY41" s="38">
        <f t="shared" si="50"/>
        <v>-832053358.04153204</v>
      </c>
      <c r="AZ41" s="38">
        <f t="shared" si="51"/>
        <v>-808902718.49114776</v>
      </c>
      <c r="BA41" s="38">
        <f t="shared" si="52"/>
        <v>-785537810.66512716</v>
      </c>
      <c r="BB41" s="38">
        <f t="shared" si="53"/>
        <v>-761952600.48662663</v>
      </c>
      <c r="BC41" s="38">
        <f t="shared" si="54"/>
        <v>-738143472.19774914</v>
      </c>
      <c r="BD41" s="38">
        <f t="shared" si="55"/>
        <v>-714109265.6873585</v>
      </c>
      <c r="BE41" s="38">
        <f t="shared" si="56"/>
        <v>-689851286.81328285</v>
      </c>
      <c r="BF41" s="38">
        <f t="shared" si="57"/>
        <v>-665373290.71028888</v>
      </c>
      <c r="BG41" s="38">
        <f t="shared" si="58"/>
        <v>-640681438.37083232</v>
      </c>
      <c r="BH41" s="38">
        <f t="shared" si="59"/>
        <v>-615784227.07355607</v>
      </c>
      <c r="BI41" s="38">
        <f t="shared" si="60"/>
        <v>-590692395.51183605</v>
      </c>
      <c r="BJ41" s="38">
        <f t="shared" si="61"/>
        <v>-565418804.73878837</v>
      </c>
      <c r="BK41" s="38">
        <f t="shared" si="62"/>
        <v>-539978296.29370797</v>
      </c>
      <c r="BL41" s="38">
        <f t="shared" si="63"/>
        <v>-514387529.1059339</v>
      </c>
      <c r="BM41" s="38">
        <f t="shared" si="64"/>
        <v>-488664796.9839012</v>
      </c>
      <c r="BN41" s="38">
        <f t="shared" si="65"/>
        <v>-462829828.68824732</v>
      </c>
      <c r="BO41" s="38">
        <f t="shared" si="66"/>
        <v>-436903572.75712293</v>
      </c>
      <c r="BP41" s="38">
        <f t="shared" si="67"/>
        <v>-410907969.39837968</v>
      </c>
      <c r="BQ41" s="38">
        <f t="shared" si="68"/>
        <v>-384865711.88635617</v>
      </c>
      <c r="BR41" s="37">
        <f t="shared" si="69"/>
        <v>-358800000</v>
      </c>
      <c r="BT41" s="34"/>
      <c r="BU41" s="41">
        <v>9.3333333333333338E-2</v>
      </c>
      <c r="BV41" s="37">
        <v>0</v>
      </c>
      <c r="BW41" s="39">
        <f t="shared" ref="BW41:CY41" si="105">$B$20/($B$21-$B$22*BV41)</f>
        <v>0.34883720930232553</v>
      </c>
      <c r="BX41" s="39">
        <f t="shared" si="105"/>
        <v>0.39716748768472904</v>
      </c>
      <c r="BY41" s="39">
        <f t="shared" si="105"/>
        <v>0.40494040593779607</v>
      </c>
      <c r="BZ41" s="39">
        <f t="shared" si="105"/>
        <v>0.4062190081621499</v>
      </c>
      <c r="CA41" s="39">
        <f t="shared" si="105"/>
        <v>0.40643010492156101</v>
      </c>
      <c r="CB41" s="39">
        <f t="shared" si="105"/>
        <v>0.40646497802255066</v>
      </c>
      <c r="CC41" s="39">
        <f t="shared" si="105"/>
        <v>0.40647073962099717</v>
      </c>
      <c r="CD41" s="39">
        <f t="shared" si="105"/>
        <v>0.40647169154566137</v>
      </c>
      <c r="CE41" s="39">
        <f t="shared" si="105"/>
        <v>0.40647184882198806</v>
      </c>
      <c r="CF41" s="39">
        <f t="shared" si="105"/>
        <v>0.40647187480708435</v>
      </c>
      <c r="CG41" s="39">
        <f t="shared" si="105"/>
        <v>0.40647187910032606</v>
      </c>
      <c r="CH41" s="39">
        <f t="shared" si="105"/>
        <v>0.40647187980965277</v>
      </c>
      <c r="CI41" s="39">
        <f t="shared" si="105"/>
        <v>0.4064718799268473</v>
      </c>
      <c r="CJ41" s="39">
        <f t="shared" si="105"/>
        <v>0.40647187994621015</v>
      </c>
      <c r="CK41" s="39">
        <f t="shared" si="105"/>
        <v>0.40647187994940925</v>
      </c>
      <c r="CL41" s="39">
        <f t="shared" si="105"/>
        <v>0.40647187994993778</v>
      </c>
      <c r="CM41" s="39">
        <f t="shared" si="105"/>
        <v>0.40647187995002515</v>
      </c>
      <c r="CN41" s="39">
        <f t="shared" si="105"/>
        <v>0.40647187995003953</v>
      </c>
      <c r="CO41" s="39">
        <f t="shared" si="105"/>
        <v>0.40647187995004191</v>
      </c>
      <c r="CP41" s="39">
        <f t="shared" si="105"/>
        <v>0.40647187995004236</v>
      </c>
      <c r="CQ41" s="39">
        <f t="shared" si="105"/>
        <v>0.40647187995004236</v>
      </c>
      <c r="CR41" s="39">
        <f t="shared" si="105"/>
        <v>0.40647187995004236</v>
      </c>
      <c r="CS41" s="39">
        <f t="shared" si="105"/>
        <v>0.40647187995004236</v>
      </c>
      <c r="CT41" s="39">
        <f t="shared" si="105"/>
        <v>0.40647187995004236</v>
      </c>
      <c r="CU41" s="39">
        <f t="shared" si="105"/>
        <v>0.40647187995004236</v>
      </c>
      <c r="CV41" s="39">
        <f t="shared" si="105"/>
        <v>0.40647187995004236</v>
      </c>
      <c r="CW41" s="39">
        <f t="shared" si="105"/>
        <v>0.40647187995004236</v>
      </c>
      <c r="CX41" s="39">
        <f t="shared" si="105"/>
        <v>0.40647187995004236</v>
      </c>
      <c r="CY41" s="37">
        <f t="shared" si="105"/>
        <v>0.40647187995004236</v>
      </c>
      <c r="CZ41" s="29">
        <f t="shared" si="71"/>
        <v>100</v>
      </c>
      <c r="DB41" s="34"/>
      <c r="DC41" s="41">
        <v>9.3333333333333338E-2</v>
      </c>
      <c r="DD41" s="37">
        <f t="shared" si="72"/>
        <v>300</v>
      </c>
      <c r="DE41" s="39">
        <f t="shared" si="73"/>
        <v>193.51441242721705</v>
      </c>
      <c r="DF41" s="39">
        <f t="shared" si="74"/>
        <v>175.94175883062701</v>
      </c>
      <c r="DG41" s="39">
        <f t="shared" si="75"/>
        <v>170.13286348351025</v>
      </c>
      <c r="DH41" s="39">
        <f t="shared" si="76"/>
        <v>166.16043175818353</v>
      </c>
      <c r="DI41" s="39">
        <f t="shared" si="77"/>
        <v>162.47218926600974</v>
      </c>
      <c r="DJ41" s="39">
        <f t="shared" si="78"/>
        <v>158.81565026413719</v>
      </c>
      <c r="DK41" s="39">
        <f t="shared" si="79"/>
        <v>155.14723434655264</v>
      </c>
      <c r="DL41" s="39">
        <f t="shared" si="80"/>
        <v>151.4572732632513</v>
      </c>
      <c r="DM41" s="39">
        <f t="shared" si="81"/>
        <v>147.74179181502905</v>
      </c>
      <c r="DN41" s="39">
        <f t="shared" si="82"/>
        <v>143.99797679069263</v>
      </c>
      <c r="DO41" s="39">
        <f t="shared" si="83"/>
        <v>140.22346926466088</v>
      </c>
      <c r="DP41" s="39">
        <f t="shared" si="84"/>
        <v>136.41627119573616</v>
      </c>
      <c r="DQ41" s="39">
        <f t="shared" si="85"/>
        <v>132.57474792889278</v>
      </c>
      <c r="DR41" s="39">
        <f t="shared" si="86"/>
        <v>128.69764276069517</v>
      </c>
      <c r="DS41" s="39">
        <f t="shared" si="87"/>
        <v>124.78408990345706</v>
      </c>
      <c r="DT41" s="39">
        <f t="shared" si="88"/>
        <v>120.83362354172397</v>
      </c>
      <c r="DU41" s="39">
        <f t="shared" si="89"/>
        <v>116.84618254655959</v>
      </c>
      <c r="DV41" s="39">
        <f t="shared" si="90"/>
        <v>112.82211075607574</v>
      </c>
      <c r="DW41" s="39">
        <f t="shared" si="91"/>
        <v>108.76215282699482</v>
      </c>
      <c r="DX41" s="39">
        <f t="shared" si="92"/>
        <v>104.66744571786525</v>
      </c>
      <c r="DY41" s="39">
        <f t="shared" si="93"/>
        <v>100.53950591260875</v>
      </c>
      <c r="DZ41" s="39">
        <f t="shared" si="94"/>
        <v>96.380212538242446</v>
      </c>
      <c r="EA41" s="39">
        <f t="shared" si="95"/>
        <v>92.191786573332678</v>
      </c>
      <c r="EB41" s="39">
        <f t="shared" si="96"/>
        <v>87.976766383774589</v>
      </c>
      <c r="EC41" s="39">
        <f t="shared" si="97"/>
        <v>83.737979859555011</v>
      </c>
      <c r="ED41" s="39">
        <f t="shared" si="98"/>
        <v>79.478513459985251</v>
      </c>
      <c r="EE41" s="39">
        <f t="shared" si="99"/>
        <v>75.201678505260332</v>
      </c>
      <c r="EF41" s="39">
        <f t="shared" si="100"/>
        <v>70.910975078932807</v>
      </c>
      <c r="EG41" s="39">
        <f t="shared" si="101"/>
        <v>66.610053928834702</v>
      </c>
      <c r="EH41" s="37">
        <f t="shared" si="102"/>
        <v>62.302676773030832</v>
      </c>
    </row>
    <row r="42" spans="5:138" x14ac:dyDescent="0.25">
      <c r="E42" s="32"/>
      <c r="F42" s="41">
        <v>9.0000000000000011E-2</v>
      </c>
      <c r="G42" s="33">
        <f t="shared" si="10"/>
        <v>300</v>
      </c>
      <c r="H42" s="35">
        <f t="shared" si="11"/>
        <v>293.92458070876341</v>
      </c>
      <c r="I42" s="35">
        <f t="shared" si="12"/>
        <v>287.8426691370982</v>
      </c>
      <c r="J42" s="35">
        <f t="shared" si="13"/>
        <v>281.74784476840932</v>
      </c>
      <c r="K42" s="35">
        <f t="shared" si="14"/>
        <v>275.63382979969583</v>
      </c>
      <c r="L42" s="35">
        <f t="shared" si="15"/>
        <v>269.49455847331342</v>
      </c>
      <c r="M42" s="35">
        <f t="shared" si="16"/>
        <v>263.32424400694629</v>
      </c>
      <c r="N42" s="35">
        <f t="shared" si="17"/>
        <v>257.11744236778259</v>
      </c>
      <c r="O42" s="35">
        <f t="shared" si="18"/>
        <v>250.86911217584662</v>
      </c>
      <c r="P42" s="35">
        <f t="shared" si="19"/>
        <v>244.57467006894819</v>
      </c>
      <c r="Q42" s="35">
        <f t="shared" si="20"/>
        <v>238.230040917022</v>
      </c>
      <c r="R42" s="35">
        <f t="shared" si="21"/>
        <v>231.83170233588874</v>
      </c>
      <c r="S42" s="35">
        <f t="shared" si="22"/>
        <v>225.37672301873226</v>
      </c>
      <c r="T42" s="35">
        <f t="shared" si="23"/>
        <v>218.8627944768584</v>
      </c>
      <c r="U42" s="35">
        <f t="shared" si="24"/>
        <v>212.28825585852229</v>
      </c>
      <c r="V42" s="35">
        <f t="shared" si="25"/>
        <v>205.65211159472989</v>
      </c>
      <c r="W42" s="35">
        <f t="shared" si="26"/>
        <v>198.95404170286034</v>
      </c>
      <c r="X42" s="35">
        <f t="shared" si="27"/>
        <v>192.19440466168817</v>
      </c>
      <c r="Y42" s="35">
        <f t="shared" si="28"/>
        <v>185.37423285389593</v>
      </c>
      <c r="Z42" s="35">
        <f t="shared" si="29"/>
        <v>178.49522065351823</v>
      </c>
      <c r="AA42" s="35">
        <f t="shared" si="30"/>
        <v>171.55970531505633</v>
      </c>
      <c r="AB42" s="35">
        <f t="shared" si="31"/>
        <v>164.57064089744674</v>
      </c>
      <c r="AC42" s="35">
        <f t="shared" si="32"/>
        <v>157.53156552892554</v>
      </c>
      <c r="AD42" s="35">
        <f t="shared" si="33"/>
        <v>150.44656238745884</v>
      </c>
      <c r="AE42" s="35">
        <f t="shared" si="34"/>
        <v>143.32021483524889</v>
      </c>
      <c r="AF42" s="35">
        <f t="shared" si="35"/>
        <v>136.15755620439239</v>
      </c>
      <c r="AG42" s="35">
        <f t="shared" si="36"/>
        <v>128.96401478366042</v>
      </c>
      <c r="AH42" s="35">
        <f t="shared" si="37"/>
        <v>121.74535460325578</v>
      </c>
      <c r="AI42" s="35">
        <f t="shared" si="38"/>
        <v>114.50761265501345</v>
      </c>
      <c r="AJ42" s="35">
        <f t="shared" si="103"/>
        <v>107.25703321963252</v>
      </c>
      <c r="AK42" s="33">
        <f t="shared" si="39"/>
        <v>100</v>
      </c>
      <c r="AL42" s="34"/>
      <c r="AM42" s="30">
        <v>9.0000000000000011E-2</v>
      </c>
      <c r="AN42" s="37">
        <f t="shared" si="40"/>
        <v>-1076400000</v>
      </c>
      <c r="AO42" s="38">
        <f t="shared" si="104"/>
        <v>-1054628273.624018</v>
      </c>
      <c r="AP42" s="38">
        <f t="shared" si="41"/>
        <v>-1032832955.8435862</v>
      </c>
      <c r="AQ42" s="38">
        <f t="shared" si="42"/>
        <v>-1010990716.1131542</v>
      </c>
      <c r="AR42" s="38">
        <f t="shared" si="43"/>
        <v>-989078742.64205813</v>
      </c>
      <c r="AS42" s="38">
        <f t="shared" si="44"/>
        <v>-967074994.40178537</v>
      </c>
      <c r="AT42" s="38">
        <f t="shared" si="45"/>
        <v>-944958444.39230072</v>
      </c>
      <c r="AU42" s="38">
        <f t="shared" si="46"/>
        <v>-922709311.42408085</v>
      </c>
      <c r="AV42" s="38">
        <f t="shared" si="47"/>
        <v>-900309277.81488276</v>
      </c>
      <c r="AW42" s="38">
        <f t="shared" si="48"/>
        <v>-877741690.57380068</v>
      </c>
      <c r="AX42" s="38">
        <f t="shared" si="49"/>
        <v>-854991743.84719217</v>
      </c>
      <c r="AY42" s="38">
        <f t="shared" si="50"/>
        <v>-832046640.62830484</v>
      </c>
      <c r="AZ42" s="38">
        <f t="shared" si="51"/>
        <v>-808895731.98154163</v>
      </c>
      <c r="BA42" s="38">
        <f t="shared" si="52"/>
        <v>-785530632.29952168</v>
      </c>
      <c r="BB42" s="38">
        <f t="shared" si="53"/>
        <v>-761945309.39256716</v>
      </c>
      <c r="BC42" s="38">
        <f t="shared" si="54"/>
        <v>-738136148.50213003</v>
      </c>
      <c r="BD42" s="38">
        <f t="shared" si="55"/>
        <v>-714101989.62797594</v>
      </c>
      <c r="BE42" s="38">
        <f t="shared" si="56"/>
        <v>-689844137.85994411</v>
      </c>
      <c r="BF42" s="38">
        <f t="shared" si="57"/>
        <v>-665366346.7050823</v>
      </c>
      <c r="BG42" s="38">
        <f t="shared" si="58"/>
        <v>-640674774.69649196</v>
      </c>
      <c r="BH42" s="38">
        <f t="shared" si="59"/>
        <v>-615777915.8580935</v>
      </c>
      <c r="BI42" s="38">
        <f t="shared" si="60"/>
        <v>-590686504.87681317</v>
      </c>
      <c r="BJ42" s="38">
        <f t="shared" si="61"/>
        <v>-565413398.09777939</v>
      </c>
      <c r="BK42" s="38">
        <f t="shared" si="62"/>
        <v>-539973431.70667946</v>
      </c>
      <c r="BL42" s="38">
        <f t="shared" si="63"/>
        <v>-514383258.69446981</v>
      </c>
      <c r="BM42" s="38">
        <f t="shared" si="64"/>
        <v>-488661166.41144454</v>
      </c>
      <c r="BN42" s="38">
        <f t="shared" si="65"/>
        <v>-462826876.70881861</v>
      </c>
      <c r="BO42" s="38">
        <f t="shared" si="66"/>
        <v>-436901330.83532995</v>
      </c>
      <c r="BP42" s="38">
        <f t="shared" si="67"/>
        <v>-410906461.40294212</v>
      </c>
      <c r="BQ42" s="38">
        <f t="shared" si="68"/>
        <v>-384864953.85884315</v>
      </c>
      <c r="BR42" s="37">
        <f t="shared" si="69"/>
        <v>-358800000</v>
      </c>
      <c r="BT42" s="34"/>
      <c r="BU42" s="41">
        <v>9.0000000000000011E-2</v>
      </c>
      <c r="BV42" s="37">
        <v>0</v>
      </c>
      <c r="BW42" s="39">
        <f t="shared" ref="BW42:CY42" si="106">$B$20/($B$21-$B$22*BV42)</f>
        <v>0.34883720930232553</v>
      </c>
      <c r="BX42" s="39">
        <f t="shared" si="106"/>
        <v>0.39716748768472904</v>
      </c>
      <c r="BY42" s="39">
        <f t="shared" si="106"/>
        <v>0.40494040593779607</v>
      </c>
      <c r="BZ42" s="39">
        <f t="shared" si="106"/>
        <v>0.4062190081621499</v>
      </c>
      <c r="CA42" s="39">
        <f t="shared" si="106"/>
        <v>0.40643010492156101</v>
      </c>
      <c r="CB42" s="39">
        <f t="shared" si="106"/>
        <v>0.40646497802255066</v>
      </c>
      <c r="CC42" s="39">
        <f t="shared" si="106"/>
        <v>0.40647073962099717</v>
      </c>
      <c r="CD42" s="39">
        <f t="shared" si="106"/>
        <v>0.40647169154566137</v>
      </c>
      <c r="CE42" s="39">
        <f t="shared" si="106"/>
        <v>0.40647184882198806</v>
      </c>
      <c r="CF42" s="39">
        <f t="shared" si="106"/>
        <v>0.40647187480708435</v>
      </c>
      <c r="CG42" s="39">
        <f t="shared" si="106"/>
        <v>0.40647187910032606</v>
      </c>
      <c r="CH42" s="39">
        <f t="shared" si="106"/>
        <v>0.40647187980965277</v>
      </c>
      <c r="CI42" s="39">
        <f t="shared" si="106"/>
        <v>0.4064718799268473</v>
      </c>
      <c r="CJ42" s="39">
        <f t="shared" si="106"/>
        <v>0.40647187994621015</v>
      </c>
      <c r="CK42" s="39">
        <f t="shared" si="106"/>
        <v>0.40647187994940925</v>
      </c>
      <c r="CL42" s="39">
        <f t="shared" si="106"/>
        <v>0.40647187994993778</v>
      </c>
      <c r="CM42" s="39">
        <f t="shared" si="106"/>
        <v>0.40647187995002515</v>
      </c>
      <c r="CN42" s="39">
        <f t="shared" si="106"/>
        <v>0.40647187995003953</v>
      </c>
      <c r="CO42" s="39">
        <f t="shared" si="106"/>
        <v>0.40647187995004191</v>
      </c>
      <c r="CP42" s="39">
        <f t="shared" si="106"/>
        <v>0.40647187995004236</v>
      </c>
      <c r="CQ42" s="39">
        <f t="shared" si="106"/>
        <v>0.40647187995004236</v>
      </c>
      <c r="CR42" s="39">
        <f t="shared" si="106"/>
        <v>0.40647187995004236</v>
      </c>
      <c r="CS42" s="39">
        <f t="shared" si="106"/>
        <v>0.40647187995004236</v>
      </c>
      <c r="CT42" s="39">
        <f t="shared" si="106"/>
        <v>0.40647187995004236</v>
      </c>
      <c r="CU42" s="39">
        <f t="shared" si="106"/>
        <v>0.40647187995004236</v>
      </c>
      <c r="CV42" s="39">
        <f t="shared" si="106"/>
        <v>0.40647187995004236</v>
      </c>
      <c r="CW42" s="39">
        <f t="shared" si="106"/>
        <v>0.40647187995004236</v>
      </c>
      <c r="CX42" s="39">
        <f t="shared" si="106"/>
        <v>0.40647187995004236</v>
      </c>
      <c r="CY42" s="37">
        <f t="shared" si="106"/>
        <v>0.40647187995004236</v>
      </c>
      <c r="CZ42" s="29">
        <f t="shared" si="71"/>
        <v>100</v>
      </c>
      <c r="DB42" s="34"/>
      <c r="DC42" s="41">
        <v>9.0000000000000011E-2</v>
      </c>
      <c r="DD42" s="37">
        <f t="shared" si="72"/>
        <v>300</v>
      </c>
      <c r="DE42" s="39">
        <f t="shared" si="73"/>
        <v>193.51434728884547</v>
      </c>
      <c r="DF42" s="39">
        <f t="shared" si="74"/>
        <v>175.94158546984204</v>
      </c>
      <c r="DG42" s="39">
        <f t="shared" si="75"/>
        <v>170.13256983913109</v>
      </c>
      <c r="DH42" s="39">
        <f t="shared" si="76"/>
        <v>166.16001755156992</v>
      </c>
      <c r="DI42" s="39">
        <f t="shared" si="77"/>
        <v>162.47165835317949</v>
      </c>
      <c r="DJ42" s="39">
        <f t="shared" si="78"/>
        <v>158.81500844571107</v>
      </c>
      <c r="DK42" s="39">
        <f t="shared" si="79"/>
        <v>155.14648879360331</v>
      </c>
      <c r="DL42" s="39">
        <f t="shared" si="80"/>
        <v>151.45643232369923</v>
      </c>
      <c r="DM42" s="39">
        <f t="shared" si="81"/>
        <v>147.74086489246838</v>
      </c>
      <c r="DN42" s="39">
        <f t="shared" si="82"/>
        <v>143.99697422883537</v>
      </c>
      <c r="DO42" s="39">
        <f t="shared" si="83"/>
        <v>140.22240222499093</v>
      </c>
      <c r="DP42" s="39">
        <f t="shared" si="84"/>
        <v>136.41515152732995</v>
      </c>
      <c r="DQ42" s="39">
        <f t="shared" si="85"/>
        <v>132.57358803165329</v>
      </c>
      <c r="DR42" s="39">
        <f t="shared" si="86"/>
        <v>128.69645544370465</v>
      </c>
      <c r="DS42" s="39">
        <f t="shared" si="87"/>
        <v>124.78288824023508</v>
      </c>
      <c r="DT42" s="39">
        <f t="shared" si="88"/>
        <v>120.83242072416486</v>
      </c>
      <c r="DU42" s="39">
        <f t="shared" si="89"/>
        <v>116.84499173927138</v>
      </c>
      <c r="DV42" s="39">
        <f t="shared" si="90"/>
        <v>112.82094495276324</v>
      </c>
      <c r="DW42" s="39">
        <f t="shared" si="91"/>
        <v>108.76102471043207</v>
      </c>
      <c r="DX42" s="39">
        <f t="shared" si="92"/>
        <v>104.66636752488783</v>
      </c>
      <c r="DY42" s="39">
        <f t="shared" si="93"/>
        <v>100.53848930543109</v>
      </c>
      <c r="DZ42" s="39">
        <f t="shared" si="94"/>
        <v>96.379268483273805</v>
      </c>
      <c r="EA42" s="39">
        <f t="shared" si="95"/>
        <v>92.19092522853127</v>
      </c>
      <c r="EB42" s="39">
        <f t="shared" si="96"/>
        <v>87.975996995445954</v>
      </c>
      <c r="EC42" s="39">
        <f t="shared" si="97"/>
        <v>83.737310669372889</v>
      </c>
      <c r="ED42" s="39">
        <f t="shared" si="98"/>
        <v>79.477951622890501</v>
      </c>
      <c r="EE42" s="39">
        <f t="shared" si="99"/>
        <v>75.201230018781203</v>
      </c>
      <c r="EF42" s="39">
        <f t="shared" si="100"/>
        <v>70.91064472436527</v>
      </c>
      <c r="EG42" s="39">
        <f t="shared" si="101"/>
        <v>66.609845224628273</v>
      </c>
      <c r="EH42" s="37">
        <f t="shared" si="102"/>
        <v>62.30259194063968</v>
      </c>
    </row>
    <row r="43" spans="5:138" x14ac:dyDescent="0.25">
      <c r="E43" s="32"/>
      <c r="F43" s="41">
        <v>8.666666666666667E-2</v>
      </c>
      <c r="G43" s="33">
        <f t="shared" si="10"/>
        <v>300</v>
      </c>
      <c r="H43" s="35">
        <f t="shared" si="11"/>
        <v>293.924264844145</v>
      </c>
      <c r="I43" s="35">
        <f t="shared" si="12"/>
        <v>287.84204096575479</v>
      </c>
      <c r="J43" s="35">
        <f t="shared" si="13"/>
        <v>281.74691136288482</v>
      </c>
      <c r="K43" s="35">
        <f t="shared" si="14"/>
        <v>275.63260166135956</v>
      </c>
      <c r="L43" s="35">
        <f t="shared" si="15"/>
        <v>269.49304940526065</v>
      </c>
      <c r="M43" s="35">
        <f t="shared" si="16"/>
        <v>263.32247094754644</v>
      </c>
      <c r="N43" s="35">
        <f t="shared" si="17"/>
        <v>257.11542518736832</v>
      </c>
      <c r="O43" s="35">
        <f t="shared" si="18"/>
        <v>250.86687343954995</v>
      </c>
      <c r="P43" s="35">
        <f t="shared" si="19"/>
        <v>244.57223476913731</v>
      </c>
      <c r="Q43" s="35">
        <f t="shared" si="20"/>
        <v>238.227436179162</v>
      </c>
      <c r="R43" s="35">
        <f t="shared" si="21"/>
        <v>231.82895710193918</v>
      </c>
      <c r="S43" s="35">
        <f t="shared" si="22"/>
        <v>225.3738677124004</v>
      </c>
      <c r="T43" s="35">
        <f t="shared" si="23"/>
        <v>218.85986065514695</v>
      </c>
      <c r="U43" s="35">
        <f t="shared" si="24"/>
        <v>212.28527585404908</v>
      </c>
      <c r="V43" s="35">
        <f t="shared" si="25"/>
        <v>205.64911815325723</v>
      </c>
      <c r="W43" s="35">
        <f t="shared" si="26"/>
        <v>198.95106762036204</v>
      </c>
      <c r="X43" s="35">
        <f t="shared" si="27"/>
        <v>192.19148242510801</v>
      </c>
      <c r="Y43" s="35">
        <f t="shared" si="28"/>
        <v>185.37139428952599</v>
      </c>
      <c r="Z43" s="35">
        <f t="shared" si="29"/>
        <v>178.49249658665741</v>
      </c>
      <c r="AA43" s="35">
        <f t="shared" si="30"/>
        <v>171.55712524430874</v>
      </c>
      <c r="AB43" s="35">
        <f t="shared" si="31"/>
        <v>164.56823268670087</v>
      </c>
      <c r="AC43" s="35">
        <f t="shared" si="32"/>
        <v>157.52935511972444</v>
      </c>
      <c r="AD43" s="35">
        <f t="shared" si="33"/>
        <v>150.44457353414077</v>
      </c>
      <c r="AE43" s="35">
        <f t="shared" si="34"/>
        <v>143.31846886491587</v>
      </c>
      <c r="AF43" s="35">
        <f t="shared" si="35"/>
        <v>136.15607180345467</v>
      </c>
      <c r="AG43" s="35">
        <f t="shared" si="36"/>
        <v>128.96280781241597</v>
      </c>
      <c r="AH43" s="35">
        <f t="shared" si="37"/>
        <v>121.74443793969621</v>
      </c>
      <c r="AI43" s="35">
        <f t="shared" si="38"/>
        <v>114.50699606880369</v>
      </c>
      <c r="AJ43" s="35">
        <f t="shared" si="103"/>
        <v>107.25672327699033</v>
      </c>
      <c r="AK43" s="33">
        <f t="shared" si="39"/>
        <v>100</v>
      </c>
      <c r="AL43" s="34"/>
      <c r="AM43" s="30">
        <v>8.666666666666667E-2</v>
      </c>
      <c r="AN43" s="37">
        <f t="shared" si="40"/>
        <v>-1076400000</v>
      </c>
      <c r="AO43" s="38">
        <f t="shared" si="104"/>
        <v>-1054627125.572088</v>
      </c>
      <c r="AP43" s="38">
        <f t="shared" si="41"/>
        <v>-1032830672.6844746</v>
      </c>
      <c r="AQ43" s="38">
        <f t="shared" si="42"/>
        <v>-1010987323.5784633</v>
      </c>
      <c r="AR43" s="38">
        <f t="shared" si="43"/>
        <v>-989074278.93689299</v>
      </c>
      <c r="AS43" s="38">
        <f t="shared" si="44"/>
        <v>-967069509.74076259</v>
      </c>
      <c r="AT43" s="38">
        <f t="shared" si="45"/>
        <v>-944952000.39199722</v>
      </c>
      <c r="AU43" s="38">
        <f t="shared" si="46"/>
        <v>-922701980.36110747</v>
      </c>
      <c r="AV43" s="38">
        <f t="shared" si="47"/>
        <v>-900301141.76064575</v>
      </c>
      <c r="AW43" s="38">
        <f t="shared" si="48"/>
        <v>-877732840.41865408</v>
      </c>
      <c r="AX43" s="38">
        <f t="shared" si="49"/>
        <v>-854982278.22803795</v>
      </c>
      <c r="AY43" s="38">
        <f t="shared" si="50"/>
        <v>-832036664.7747457</v>
      </c>
      <c r="AZ43" s="38">
        <f t="shared" si="51"/>
        <v>-808885356.49643171</v>
      </c>
      <c r="BA43" s="38">
        <f t="shared" si="52"/>
        <v>-785519971.89018321</v>
      </c>
      <c r="BB43" s="38">
        <f t="shared" si="53"/>
        <v>-761934481.56906092</v>
      </c>
      <c r="BC43" s="38">
        <f t="shared" si="54"/>
        <v>-738125272.25879455</v>
      </c>
      <c r="BD43" s="38">
        <f t="shared" si="55"/>
        <v>-714091184.12402499</v>
      </c>
      <c r="BE43" s="38">
        <f t="shared" si="56"/>
        <v>-689833521.11424518</v>
      </c>
      <c r="BF43" s="38">
        <f t="shared" si="57"/>
        <v>-665356034.31938589</v>
      </c>
      <c r="BG43" s="38">
        <f t="shared" si="58"/>
        <v>-640664878.62037444</v>
      </c>
      <c r="BH43" s="38">
        <f t="shared" si="59"/>
        <v>-615768543.20775259</v>
      </c>
      <c r="BI43" s="38">
        <f t="shared" si="60"/>
        <v>-590677756.81866896</v>
      </c>
      <c r="BJ43" s="38">
        <f t="shared" si="61"/>
        <v>-565405368.80660558</v>
      </c>
      <c r="BK43" s="38">
        <f t="shared" si="62"/>
        <v>-539966207.4067719</v>
      </c>
      <c r="BL43" s="38">
        <f t="shared" si="63"/>
        <v>-514376916.79117644</v>
      </c>
      <c r="BM43" s="38">
        <f t="shared" si="64"/>
        <v>-488655774.71924627</v>
      </c>
      <c r="BN43" s="38">
        <f t="shared" si="65"/>
        <v>-462822492.78110844</v>
      </c>
      <c r="BO43" s="38">
        <f t="shared" si="66"/>
        <v>-436898001.40006548</v>
      </c>
      <c r="BP43" s="38">
        <f t="shared" si="67"/>
        <v>-410904221.90748006</v>
      </c>
      <c r="BQ43" s="38">
        <f t="shared" si="68"/>
        <v>-384863828.12647402</v>
      </c>
      <c r="BR43" s="37">
        <f t="shared" si="69"/>
        <v>-358800000</v>
      </c>
      <c r="BT43" s="34"/>
      <c r="BU43" s="41">
        <v>8.666666666666667E-2</v>
      </c>
      <c r="BV43" s="37">
        <v>0</v>
      </c>
      <c r="BW43" s="39">
        <f t="shared" ref="BW43:CY43" si="107">$B$20/($B$21-$B$22*BV43)</f>
        <v>0.34883720930232553</v>
      </c>
      <c r="BX43" s="39">
        <f t="shared" si="107"/>
        <v>0.39716748768472904</v>
      </c>
      <c r="BY43" s="39">
        <f t="shared" si="107"/>
        <v>0.40494040593779607</v>
      </c>
      <c r="BZ43" s="39">
        <f t="shared" si="107"/>
        <v>0.4062190081621499</v>
      </c>
      <c r="CA43" s="39">
        <f t="shared" si="107"/>
        <v>0.40643010492156101</v>
      </c>
      <c r="CB43" s="39">
        <f t="shared" si="107"/>
        <v>0.40646497802255066</v>
      </c>
      <c r="CC43" s="39">
        <f t="shared" si="107"/>
        <v>0.40647073962099717</v>
      </c>
      <c r="CD43" s="39">
        <f t="shared" si="107"/>
        <v>0.40647169154566137</v>
      </c>
      <c r="CE43" s="39">
        <f t="shared" si="107"/>
        <v>0.40647184882198806</v>
      </c>
      <c r="CF43" s="39">
        <f t="shared" si="107"/>
        <v>0.40647187480708435</v>
      </c>
      <c r="CG43" s="39">
        <f t="shared" si="107"/>
        <v>0.40647187910032606</v>
      </c>
      <c r="CH43" s="39">
        <f t="shared" si="107"/>
        <v>0.40647187980965277</v>
      </c>
      <c r="CI43" s="39">
        <f t="shared" si="107"/>
        <v>0.4064718799268473</v>
      </c>
      <c r="CJ43" s="39">
        <f t="shared" si="107"/>
        <v>0.40647187994621015</v>
      </c>
      <c r="CK43" s="39">
        <f t="shared" si="107"/>
        <v>0.40647187994940925</v>
      </c>
      <c r="CL43" s="39">
        <f t="shared" si="107"/>
        <v>0.40647187994993778</v>
      </c>
      <c r="CM43" s="39">
        <f t="shared" si="107"/>
        <v>0.40647187995002515</v>
      </c>
      <c r="CN43" s="39">
        <f t="shared" si="107"/>
        <v>0.40647187995003953</v>
      </c>
      <c r="CO43" s="39">
        <f t="shared" si="107"/>
        <v>0.40647187995004191</v>
      </c>
      <c r="CP43" s="39">
        <f t="shared" si="107"/>
        <v>0.40647187995004236</v>
      </c>
      <c r="CQ43" s="39">
        <f t="shared" si="107"/>
        <v>0.40647187995004236</v>
      </c>
      <c r="CR43" s="39">
        <f t="shared" si="107"/>
        <v>0.40647187995004236</v>
      </c>
      <c r="CS43" s="39">
        <f t="shared" si="107"/>
        <v>0.40647187995004236</v>
      </c>
      <c r="CT43" s="39">
        <f t="shared" si="107"/>
        <v>0.40647187995004236</v>
      </c>
      <c r="CU43" s="39">
        <f t="shared" si="107"/>
        <v>0.40647187995004236</v>
      </c>
      <c r="CV43" s="39">
        <f t="shared" si="107"/>
        <v>0.40647187995004236</v>
      </c>
      <c r="CW43" s="39">
        <f t="shared" si="107"/>
        <v>0.40647187995004236</v>
      </c>
      <c r="CX43" s="39">
        <f t="shared" si="107"/>
        <v>0.40647187995004236</v>
      </c>
      <c r="CY43" s="37">
        <f t="shared" si="107"/>
        <v>0.40647187995004236</v>
      </c>
      <c r="CZ43" s="29">
        <f t="shared" si="71"/>
        <v>100</v>
      </c>
      <c r="DB43" s="34"/>
      <c r="DC43" s="41">
        <v>8.666666666666667E-2</v>
      </c>
      <c r="DD43" s="37">
        <f t="shared" si="72"/>
        <v>300</v>
      </c>
      <c r="DE43" s="39">
        <f t="shared" si="73"/>
        <v>193.51425055376544</v>
      </c>
      <c r="DF43" s="39">
        <f t="shared" si="74"/>
        <v>175.94132801682579</v>
      </c>
      <c r="DG43" s="39">
        <f t="shared" si="75"/>
        <v>170.13213375644301</v>
      </c>
      <c r="DH43" s="39">
        <f t="shared" si="76"/>
        <v>166.15940242536129</v>
      </c>
      <c r="DI43" s="39">
        <f t="shared" si="77"/>
        <v>162.47086990984465</v>
      </c>
      <c r="DJ43" s="39">
        <f t="shared" si="78"/>
        <v>158.81405529950402</v>
      </c>
      <c r="DK43" s="39">
        <f t="shared" si="79"/>
        <v>155.14538159398734</v>
      </c>
      <c r="DL43" s="39">
        <f t="shared" si="80"/>
        <v>151.45518346783609</v>
      </c>
      <c r="DM43" s="39">
        <f t="shared" si="81"/>
        <v>147.73948834527116</v>
      </c>
      <c r="DN43" s="39">
        <f t="shared" si="82"/>
        <v>143.99548535136563</v>
      </c>
      <c r="DO43" s="39">
        <f t="shared" si="83"/>
        <v>140.22081759277148</v>
      </c>
      <c r="DP43" s="39">
        <f t="shared" si="84"/>
        <v>136.41348873702415</v>
      </c>
      <c r="DQ43" s="39">
        <f t="shared" si="85"/>
        <v>132.57186549796225</v>
      </c>
      <c r="DR43" s="39">
        <f t="shared" si="86"/>
        <v>128.69469218901432</v>
      </c>
      <c r="DS43" s="39">
        <f t="shared" si="87"/>
        <v>124.78110367966661</v>
      </c>
      <c r="DT43" s="39">
        <f t="shared" si="88"/>
        <v>120.83063444866298</v>
      </c>
      <c r="DU43" s="39">
        <f t="shared" si="89"/>
        <v>116.843223299287</v>
      </c>
      <c r="DV43" s="39">
        <f t="shared" si="90"/>
        <v>112.81921364497136</v>
      </c>
      <c r="DW43" s="39">
        <f t="shared" si="91"/>
        <v>108.75934936977843</v>
      </c>
      <c r="DX43" s="39">
        <f t="shared" si="92"/>
        <v>104.66476632408941</v>
      </c>
      <c r="DY43" s="39">
        <f t="shared" si="93"/>
        <v>100.53697956386866</v>
      </c>
      <c r="DZ43" s="39">
        <f t="shared" si="94"/>
        <v>96.377866487019858</v>
      </c>
      <c r="EA43" s="39">
        <f t="shared" si="95"/>
        <v>92.189646063056799</v>
      </c>
      <c r="EB43" s="39">
        <f t="shared" si="96"/>
        <v>87.974854392352682</v>
      </c>
      <c r="EC43" s="39">
        <f t="shared" si="97"/>
        <v>83.73631686830592</v>
      </c>
      <c r="ED43" s="39">
        <f t="shared" si="98"/>
        <v>79.477117249606394</v>
      </c>
      <c r="EE43" s="39">
        <f t="shared" si="99"/>
        <v>75.200563980177463</v>
      </c>
      <c r="EF43" s="39">
        <f t="shared" si="100"/>
        <v>70.910154121123966</v>
      </c>
      <c r="EG43" s="39">
        <f t="shared" si="101"/>
        <v>66.609535281986098</v>
      </c>
      <c r="EH43" s="37">
        <f t="shared" si="102"/>
        <v>62.302465957671245</v>
      </c>
    </row>
    <row r="44" spans="5:138" x14ac:dyDescent="0.25">
      <c r="E44" s="32"/>
      <c r="F44" s="41">
        <v>8.3333333333333343E-2</v>
      </c>
      <c r="G44" s="33">
        <f t="shared" si="10"/>
        <v>300</v>
      </c>
      <c r="H44" s="35">
        <f t="shared" si="11"/>
        <v>293.92384957404562</v>
      </c>
      <c r="I44" s="35">
        <f t="shared" si="12"/>
        <v>287.84121510308762</v>
      </c>
      <c r="J44" s="35">
        <f t="shared" si="13"/>
        <v>281.74568420586434</v>
      </c>
      <c r="K44" s="35">
        <f t="shared" si="14"/>
        <v>275.6309870160552</v>
      </c>
      <c r="L44" s="35">
        <f t="shared" si="15"/>
        <v>269.49106541850784</v>
      </c>
      <c r="M44" s="35">
        <f t="shared" si="16"/>
        <v>263.32013988812304</v>
      </c>
      <c r="N44" s="35">
        <f t="shared" si="17"/>
        <v>257.11277317871429</v>
      </c>
      <c r="O44" s="35">
        <f t="shared" si="18"/>
        <v>250.8639301479817</v>
      </c>
      <c r="P44" s="35">
        <f t="shared" si="19"/>
        <v>244.56903305209602</v>
      </c>
      <c r="Q44" s="35">
        <f t="shared" si="20"/>
        <v>238.22401169852182</v>
      </c>
      <c r="R44" s="35">
        <f t="shared" si="21"/>
        <v>231.82534790778257</v>
      </c>
      <c r="S44" s="35">
        <f t="shared" si="22"/>
        <v>225.37011380293697</v>
      </c>
      <c r="T44" s="35">
        <f t="shared" si="23"/>
        <v>218.85600351861103</v>
      </c>
      <c r="U44" s="35">
        <f t="shared" si="24"/>
        <v>212.28135799846243</v>
      </c>
      <c r="V44" s="35">
        <f t="shared" si="25"/>
        <v>205.64518262989083</v>
      </c>
      <c r="W44" s="35">
        <f t="shared" si="26"/>
        <v>198.9471575465858</v>
      </c>
      <c r="X44" s="35">
        <f t="shared" si="27"/>
        <v>192.1876405120905</v>
      </c>
      <c r="Y44" s="35">
        <f t="shared" si="28"/>
        <v>185.3676623799484</v>
      </c>
      <c r="Z44" s="35">
        <f t="shared" si="29"/>
        <v>178.48891520725374</v>
      </c>
      <c r="AA44" s="35">
        <f t="shared" si="30"/>
        <v>171.55373317765063</v>
      </c>
      <c r="AB44" s="35">
        <f t="shared" si="31"/>
        <v>164.56506656622449</v>
      </c>
      <c r="AC44" s="35">
        <f t="shared" si="32"/>
        <v>157.52644905156342</v>
      </c>
      <c r="AD44" s="35">
        <f t="shared" si="33"/>
        <v>150.44195874889479</v>
      </c>
      <c r="AE44" s="35">
        <f t="shared" si="34"/>
        <v>143.31617340205975</v>
      </c>
      <c r="AF44" s="35">
        <f t="shared" si="35"/>
        <v>136.15412023068743</v>
      </c>
      <c r="AG44" s="35">
        <f t="shared" si="36"/>
        <v>128.96122098186862</v>
      </c>
      <c r="AH44" s="35">
        <f t="shared" si="37"/>
        <v>121.74323278256543</v>
      </c>
      <c r="AI44" s="35">
        <f t="shared" si="38"/>
        <v>114.50618542965792</v>
      </c>
      <c r="AJ44" s="35">
        <f t="shared" si="103"/>
        <v>107.25631578870298</v>
      </c>
      <c r="AK44" s="33">
        <f t="shared" si="39"/>
        <v>100</v>
      </c>
      <c r="AL44" s="34"/>
      <c r="AM44" s="30">
        <v>8.3333333333333343E-2</v>
      </c>
      <c r="AN44" s="37">
        <f t="shared" si="40"/>
        <v>-1076400000</v>
      </c>
      <c r="AO44" s="38">
        <f t="shared" si="104"/>
        <v>-1054625616.2179908</v>
      </c>
      <c r="AP44" s="38">
        <f t="shared" si="41"/>
        <v>-1032827670.9946166</v>
      </c>
      <c r="AQ44" s="38">
        <f t="shared" si="42"/>
        <v>-1010982863.3819462</v>
      </c>
      <c r="AR44" s="38">
        <f t="shared" si="43"/>
        <v>-989068410.46164286</v>
      </c>
      <c r="AS44" s="38">
        <f t="shared" si="44"/>
        <v>-967062299.00355303</v>
      </c>
      <c r="AT44" s="38">
        <f t="shared" si="45"/>
        <v>-944943528.39974463</v>
      </c>
      <c r="AU44" s="38">
        <f t="shared" si="46"/>
        <v>-922692342.13550711</v>
      </c>
      <c r="AV44" s="38">
        <f t="shared" si="47"/>
        <v>-900290445.20069253</v>
      </c>
      <c r="AW44" s="38">
        <f t="shared" si="48"/>
        <v>-877721205.01775074</v>
      </c>
      <c r="AX44" s="38">
        <f t="shared" si="49"/>
        <v>-854969833.66415954</v>
      </c>
      <c r="AY44" s="38">
        <f t="shared" si="50"/>
        <v>-832023549.39352429</v>
      </c>
      <c r="AZ44" s="38">
        <f t="shared" si="51"/>
        <v>-808871715.70798671</v>
      </c>
      <c r="BA44" s="38">
        <f t="shared" si="52"/>
        <v>-785505956.5010823</v>
      </c>
      <c r="BB44" s="38">
        <f t="shared" si="53"/>
        <v>-761920246.07095444</v>
      </c>
      <c r="BC44" s="38">
        <f t="shared" si="54"/>
        <v>-738110973.09504437</v>
      </c>
      <c r="BD44" s="38">
        <f t="shared" si="55"/>
        <v>-714076977.95507801</v>
      </c>
      <c r="BE44" s="38">
        <f t="shared" si="56"/>
        <v>-689819563.10163844</v>
      </c>
      <c r="BF44" s="38">
        <f t="shared" si="57"/>
        <v>-665342476.44714272</v>
      </c>
      <c r="BG44" s="38">
        <f t="shared" si="58"/>
        <v>-640651868.07122755</v>
      </c>
      <c r="BH44" s="38">
        <f t="shared" si="59"/>
        <v>-615756220.81015754</v>
      </c>
      <c r="BI44" s="38">
        <f t="shared" si="60"/>
        <v>-590666255.57900631</v>
      </c>
      <c r="BJ44" s="38">
        <f t="shared" si="61"/>
        <v>-565394812.53936112</v>
      </c>
      <c r="BK44" s="38">
        <f t="shared" si="62"/>
        <v>-539956709.47388375</v>
      </c>
      <c r="BL44" s="38">
        <f t="shared" si="63"/>
        <v>-514368578.96017492</v>
      </c>
      <c r="BM44" s="38">
        <f t="shared" si="64"/>
        <v>-488648686.14833504</v>
      </c>
      <c r="BN44" s="38">
        <f t="shared" si="65"/>
        <v>-462816729.13794994</v>
      </c>
      <c r="BO44" s="38">
        <f t="shared" si="66"/>
        <v>-436893624.11976671</v>
      </c>
      <c r="BP44" s="38">
        <f t="shared" si="67"/>
        <v>-410901277.5941292</v>
      </c>
      <c r="BQ44" s="38">
        <f t="shared" si="68"/>
        <v>-384862348.10154313</v>
      </c>
      <c r="BR44" s="37">
        <f t="shared" si="69"/>
        <v>-358800000</v>
      </c>
      <c r="BT44" s="34"/>
      <c r="BU44" s="41">
        <v>8.3333333333333343E-2</v>
      </c>
      <c r="BV44" s="37">
        <v>0</v>
      </c>
      <c r="BW44" s="39">
        <f t="shared" ref="BW44:CY44" si="108">$B$20/($B$21-$B$22*BV44)</f>
        <v>0.34883720930232553</v>
      </c>
      <c r="BX44" s="39">
        <f t="shared" si="108"/>
        <v>0.39716748768472904</v>
      </c>
      <c r="BY44" s="39">
        <f t="shared" si="108"/>
        <v>0.40494040593779607</v>
      </c>
      <c r="BZ44" s="39">
        <f t="shared" si="108"/>
        <v>0.4062190081621499</v>
      </c>
      <c r="CA44" s="39">
        <f t="shared" si="108"/>
        <v>0.40643010492156101</v>
      </c>
      <c r="CB44" s="39">
        <f t="shared" si="108"/>
        <v>0.40646497802255066</v>
      </c>
      <c r="CC44" s="39">
        <f t="shared" si="108"/>
        <v>0.40647073962099717</v>
      </c>
      <c r="CD44" s="39">
        <f t="shared" si="108"/>
        <v>0.40647169154566137</v>
      </c>
      <c r="CE44" s="39">
        <f t="shared" si="108"/>
        <v>0.40647184882198806</v>
      </c>
      <c r="CF44" s="39">
        <f t="shared" si="108"/>
        <v>0.40647187480708435</v>
      </c>
      <c r="CG44" s="39">
        <f t="shared" si="108"/>
        <v>0.40647187910032606</v>
      </c>
      <c r="CH44" s="39">
        <f t="shared" si="108"/>
        <v>0.40647187980965277</v>
      </c>
      <c r="CI44" s="39">
        <f t="shared" si="108"/>
        <v>0.4064718799268473</v>
      </c>
      <c r="CJ44" s="39">
        <f t="shared" si="108"/>
        <v>0.40647187994621015</v>
      </c>
      <c r="CK44" s="39">
        <f t="shared" si="108"/>
        <v>0.40647187994940925</v>
      </c>
      <c r="CL44" s="39">
        <f t="shared" si="108"/>
        <v>0.40647187994993778</v>
      </c>
      <c r="CM44" s="39">
        <f t="shared" si="108"/>
        <v>0.40647187995002515</v>
      </c>
      <c r="CN44" s="39">
        <f t="shared" si="108"/>
        <v>0.40647187995003953</v>
      </c>
      <c r="CO44" s="39">
        <f t="shared" si="108"/>
        <v>0.40647187995004191</v>
      </c>
      <c r="CP44" s="39">
        <f t="shared" si="108"/>
        <v>0.40647187995004236</v>
      </c>
      <c r="CQ44" s="39">
        <f t="shared" si="108"/>
        <v>0.40647187995004236</v>
      </c>
      <c r="CR44" s="39">
        <f t="shared" si="108"/>
        <v>0.40647187995004236</v>
      </c>
      <c r="CS44" s="39">
        <f t="shared" si="108"/>
        <v>0.40647187995004236</v>
      </c>
      <c r="CT44" s="39">
        <f t="shared" si="108"/>
        <v>0.40647187995004236</v>
      </c>
      <c r="CU44" s="39">
        <f t="shared" si="108"/>
        <v>0.40647187995004236</v>
      </c>
      <c r="CV44" s="39">
        <f t="shared" si="108"/>
        <v>0.40647187995004236</v>
      </c>
      <c r="CW44" s="39">
        <f t="shared" si="108"/>
        <v>0.40647187995004236</v>
      </c>
      <c r="CX44" s="39">
        <f t="shared" si="108"/>
        <v>0.40647187995004236</v>
      </c>
      <c r="CY44" s="37">
        <f t="shared" si="108"/>
        <v>0.40647187995004236</v>
      </c>
      <c r="CZ44" s="29">
        <f t="shared" si="71"/>
        <v>100</v>
      </c>
      <c r="DB44" s="34"/>
      <c r="DC44" s="41">
        <v>8.3333333333333343E-2</v>
      </c>
      <c r="DD44" s="37">
        <f t="shared" si="72"/>
        <v>300</v>
      </c>
      <c r="DE44" s="39">
        <f t="shared" si="73"/>
        <v>193.51412337529413</v>
      </c>
      <c r="DF44" s="39">
        <f t="shared" si="74"/>
        <v>175.94098954102944</v>
      </c>
      <c r="DG44" s="39">
        <f t="shared" si="75"/>
        <v>170.13156043454754</v>
      </c>
      <c r="DH44" s="39">
        <f t="shared" si="76"/>
        <v>166.15859371318791</v>
      </c>
      <c r="DI44" s="39">
        <f t="shared" si="77"/>
        <v>162.46983333581787</v>
      </c>
      <c r="DJ44" s="39">
        <f t="shared" si="78"/>
        <v>158.8128021887199</v>
      </c>
      <c r="DK44" s="39">
        <f t="shared" si="79"/>
        <v>155.14392594723398</v>
      </c>
      <c r="DL44" s="39">
        <f t="shared" si="80"/>
        <v>151.45354158360948</v>
      </c>
      <c r="DM44" s="39">
        <f t="shared" si="81"/>
        <v>147.73767858320693</v>
      </c>
      <c r="DN44" s="39">
        <f t="shared" si="82"/>
        <v>143.99352790664085</v>
      </c>
      <c r="DO44" s="39">
        <f t="shared" si="83"/>
        <v>140.21873425724846</v>
      </c>
      <c r="DP44" s="39">
        <f t="shared" si="84"/>
        <v>136.41130264509917</v>
      </c>
      <c r="DQ44" s="39">
        <f t="shared" si="85"/>
        <v>132.56960085955191</v>
      </c>
      <c r="DR44" s="39">
        <f t="shared" si="86"/>
        <v>128.69237401300899</v>
      </c>
      <c r="DS44" s="39">
        <f t="shared" si="87"/>
        <v>124.77875749133878</v>
      </c>
      <c r="DT44" s="39">
        <f t="shared" si="88"/>
        <v>120.82828600449356</v>
      </c>
      <c r="DU44" s="39">
        <f t="shared" si="89"/>
        <v>116.84089830257132</v>
      </c>
      <c r="DV44" s="39">
        <f t="shared" si="90"/>
        <v>112.81693746541279</v>
      </c>
      <c r="DW44" s="39">
        <f t="shared" si="91"/>
        <v>108.75714677008622</v>
      </c>
      <c r="DX44" s="39">
        <f t="shared" si="92"/>
        <v>104.66266119637349</v>
      </c>
      <c r="DY44" s="39">
        <f t="shared" si="93"/>
        <v>100.53499467838094</v>
      </c>
      <c r="DZ44" s="39">
        <f t="shared" si="94"/>
        <v>96.37602325553344</v>
      </c>
      <c r="EA44" s="39">
        <f t="shared" si="95"/>
        <v>92.187964318913316</v>
      </c>
      <c r="EB44" s="39">
        <f t="shared" si="96"/>
        <v>87.973352188948141</v>
      </c>
      <c r="EC44" s="39">
        <f t="shared" si="97"/>
        <v>83.735010297534444</v>
      </c>
      <c r="ED44" s="39">
        <f t="shared" si="98"/>
        <v>79.476020281543612</v>
      </c>
      <c r="EE44" s="39">
        <f t="shared" si="99"/>
        <v>75.199688325064216</v>
      </c>
      <c r="EF44" s="39">
        <f t="shared" si="100"/>
        <v>70.90950911450841</v>
      </c>
      <c r="EG44" s="39">
        <f t="shared" si="101"/>
        <v>66.609127793698732</v>
      </c>
      <c r="EH44" s="37">
        <f t="shared" si="102"/>
        <v>62.302300325141026</v>
      </c>
    </row>
    <row r="45" spans="5:138" x14ac:dyDescent="0.25">
      <c r="E45" s="32"/>
      <c r="F45" s="41">
        <v>0.08</v>
      </c>
      <c r="G45" s="33">
        <f t="shared" si="10"/>
        <v>300</v>
      </c>
      <c r="H45" s="35">
        <f t="shared" si="11"/>
        <v>293.92333984596416</v>
      </c>
      <c r="I45" s="35">
        <f t="shared" si="12"/>
        <v>287.84020138831625</v>
      </c>
      <c r="J45" s="35">
        <f t="shared" si="13"/>
        <v>281.74417791741189</v>
      </c>
      <c r="K45" s="35">
        <f t="shared" si="14"/>
        <v>275.62900510006659</v>
      </c>
      <c r="L45" s="35">
        <f t="shared" si="15"/>
        <v>269.48863014918368</v>
      </c>
      <c r="M45" s="35">
        <f t="shared" si="16"/>
        <v>263.31727859914179</v>
      </c>
      <c r="N45" s="35">
        <f t="shared" si="17"/>
        <v>257.10951793517796</v>
      </c>
      <c r="O45" s="35">
        <f t="shared" si="18"/>
        <v>250.86031736373531</v>
      </c>
      <c r="P45" s="35">
        <f t="shared" si="19"/>
        <v>244.56510305799097</v>
      </c>
      <c r="Q45" s="35">
        <f t="shared" si="20"/>
        <v>238.21980826779196</v>
      </c>
      <c r="R45" s="35">
        <f t="shared" si="21"/>
        <v>231.82091774516763</v>
      </c>
      <c r="S45" s="35">
        <f t="shared" si="22"/>
        <v>225.36550600452054</v>
      </c>
      <c r="T45" s="35">
        <f t="shared" si="23"/>
        <v>218.85126900953509</v>
      </c>
      <c r="U45" s="35">
        <f t="shared" si="24"/>
        <v>212.27654895574199</v>
      </c>
      <c r="V45" s="35">
        <f t="shared" si="25"/>
        <v>205.64035189748915</v>
      </c>
      <c r="W45" s="35">
        <f t="shared" si="26"/>
        <v>198.9423580497332</v>
      </c>
      <c r="X45" s="35">
        <f t="shared" si="27"/>
        <v>192.18292467755006</v>
      </c>
      <c r="Y45" s="35">
        <f t="shared" si="28"/>
        <v>185.36308156856856</v>
      </c>
      <c r="Z45" s="35">
        <f t="shared" si="29"/>
        <v>178.48451916471379</v>
      </c>
      <c r="AA45" s="35">
        <f t="shared" si="30"/>
        <v>171.54956950882357</v>
      </c>
      <c r="AB45" s="35">
        <f t="shared" si="31"/>
        <v>164.56118023806431</v>
      </c>
      <c r="AC45" s="35">
        <f t="shared" si="32"/>
        <v>157.52288192889284</v>
      </c>
      <c r="AD45" s="35">
        <f t="shared" si="33"/>
        <v>150.43874916693534</v>
      </c>
      <c r="AE45" s="35">
        <f t="shared" si="34"/>
        <v>143.31335577902632</v>
      </c>
      <c r="AF45" s="35">
        <f t="shared" si="35"/>
        <v>136.15172472327032</v>
      </c>
      <c r="AG45" s="35">
        <f t="shared" si="36"/>
        <v>128.95927318595994</v>
      </c>
      <c r="AH45" s="35">
        <f t="shared" si="37"/>
        <v>121.74175348115429</v>
      </c>
      <c r="AI45" s="35">
        <f t="shared" si="38"/>
        <v>114.50519038942568</v>
      </c>
      <c r="AJ45" s="35">
        <f t="shared" si="103"/>
        <v>107.25581560649132</v>
      </c>
      <c r="AK45" s="33">
        <f t="shared" si="39"/>
        <v>100</v>
      </c>
      <c r="AL45" s="34"/>
      <c r="AM45" s="30">
        <v>0.08</v>
      </c>
      <c r="AN45" s="37">
        <f t="shared" si="40"/>
        <v>-1076400000</v>
      </c>
      <c r="AO45" s="38">
        <f t="shared" si="104"/>
        <v>-1054623763.5442736</v>
      </c>
      <c r="AP45" s="38">
        <f t="shared" si="41"/>
        <v>-1032823986.53616</v>
      </c>
      <c r="AQ45" s="38">
        <f t="shared" si="42"/>
        <v>-1010977388.661939</v>
      </c>
      <c r="AR45" s="38">
        <f t="shared" si="43"/>
        <v>-989061207.13188493</v>
      </c>
      <c r="AS45" s="38">
        <f t="shared" si="44"/>
        <v>-967053448.09578896</v>
      </c>
      <c r="AT45" s="38">
        <f t="shared" si="45"/>
        <v>-944933129.34535778</v>
      </c>
      <c r="AU45" s="38">
        <f t="shared" si="46"/>
        <v>-922680511.56838071</v>
      </c>
      <c r="AV45" s="38">
        <f t="shared" si="47"/>
        <v>-900277315.56109118</v>
      </c>
      <c r="AW45" s="38">
        <f t="shared" si="48"/>
        <v>-877706922.97771406</v>
      </c>
      <c r="AX45" s="38">
        <f t="shared" si="49"/>
        <v>-854954558.39707863</v>
      </c>
      <c r="AY45" s="38">
        <f t="shared" si="50"/>
        <v>-832007450.71227551</v>
      </c>
      <c r="AZ45" s="38">
        <f t="shared" si="51"/>
        <v>-808854972.09718049</v>
      </c>
      <c r="BA45" s="38">
        <f t="shared" si="52"/>
        <v>-785488753.06967592</v>
      </c>
      <c r="BB45" s="38">
        <f t="shared" si="53"/>
        <v>-761902772.45166588</v>
      </c>
      <c r="BC45" s="38">
        <f t="shared" si="54"/>
        <v>-738093421.31673396</v>
      </c>
      <c r="BD45" s="38">
        <f t="shared" si="55"/>
        <v>-714059540.31357133</v>
      </c>
      <c r="BE45" s="38">
        <f t="shared" si="56"/>
        <v>-689802430.05339491</v>
      </c>
      <c r="BF45" s="38">
        <f t="shared" si="57"/>
        <v>-665325834.5487994</v>
      </c>
      <c r="BG45" s="38">
        <f t="shared" si="58"/>
        <v>-640635897.98642015</v>
      </c>
      <c r="BH45" s="38">
        <f t="shared" si="59"/>
        <v>-615741095.4032166</v>
      </c>
      <c r="BI45" s="38">
        <f t="shared" si="60"/>
        <v>-590652138.11320174</v>
      </c>
      <c r="BJ45" s="38">
        <f t="shared" si="61"/>
        <v>-565381854.99540162</v>
      </c>
      <c r="BK45" s="38">
        <f t="shared" si="62"/>
        <v>-539945051.0024035</v>
      </c>
      <c r="BL45" s="38">
        <f t="shared" si="63"/>
        <v>-514358344.48003292</v>
      </c>
      <c r="BM45" s="38">
        <f t="shared" si="64"/>
        <v>-488639985.10072947</v>
      </c>
      <c r="BN45" s="38">
        <f t="shared" si="65"/>
        <v>-462809654.4046548</v>
      </c>
      <c r="BO45" s="38">
        <f t="shared" si="66"/>
        <v>-436888251.11224288</v>
      </c>
      <c r="BP45" s="38">
        <f t="shared" si="67"/>
        <v>-410897663.5188514</v>
      </c>
      <c r="BQ45" s="38">
        <f t="shared" si="68"/>
        <v>-384860531.40561676</v>
      </c>
      <c r="BR45" s="37">
        <f t="shared" si="69"/>
        <v>-358800000</v>
      </c>
      <c r="BT45" s="34"/>
      <c r="BU45" s="41">
        <v>0.08</v>
      </c>
      <c r="BV45" s="37">
        <v>0</v>
      </c>
      <c r="BW45" s="39">
        <f t="shared" ref="BW45:CY45" si="109">$B$20/($B$21-$B$22*BV45)</f>
        <v>0.34883720930232553</v>
      </c>
      <c r="BX45" s="39">
        <f t="shared" si="109"/>
        <v>0.39716748768472904</v>
      </c>
      <c r="BY45" s="39">
        <f t="shared" si="109"/>
        <v>0.40494040593779607</v>
      </c>
      <c r="BZ45" s="39">
        <f t="shared" si="109"/>
        <v>0.4062190081621499</v>
      </c>
      <c r="CA45" s="39">
        <f t="shared" si="109"/>
        <v>0.40643010492156101</v>
      </c>
      <c r="CB45" s="39">
        <f t="shared" si="109"/>
        <v>0.40646497802255066</v>
      </c>
      <c r="CC45" s="39">
        <f t="shared" si="109"/>
        <v>0.40647073962099717</v>
      </c>
      <c r="CD45" s="39">
        <f t="shared" si="109"/>
        <v>0.40647169154566137</v>
      </c>
      <c r="CE45" s="39">
        <f t="shared" si="109"/>
        <v>0.40647184882198806</v>
      </c>
      <c r="CF45" s="39">
        <f t="shared" si="109"/>
        <v>0.40647187480708435</v>
      </c>
      <c r="CG45" s="39">
        <f t="shared" si="109"/>
        <v>0.40647187910032606</v>
      </c>
      <c r="CH45" s="39">
        <f t="shared" si="109"/>
        <v>0.40647187980965277</v>
      </c>
      <c r="CI45" s="39">
        <f t="shared" si="109"/>
        <v>0.4064718799268473</v>
      </c>
      <c r="CJ45" s="39">
        <f t="shared" si="109"/>
        <v>0.40647187994621015</v>
      </c>
      <c r="CK45" s="39">
        <f t="shared" si="109"/>
        <v>0.40647187994940925</v>
      </c>
      <c r="CL45" s="39">
        <f t="shared" si="109"/>
        <v>0.40647187994993778</v>
      </c>
      <c r="CM45" s="39">
        <f t="shared" si="109"/>
        <v>0.40647187995002515</v>
      </c>
      <c r="CN45" s="39">
        <f t="shared" si="109"/>
        <v>0.40647187995003953</v>
      </c>
      <c r="CO45" s="39">
        <f t="shared" si="109"/>
        <v>0.40647187995004191</v>
      </c>
      <c r="CP45" s="39">
        <f t="shared" si="109"/>
        <v>0.40647187995004236</v>
      </c>
      <c r="CQ45" s="39">
        <f t="shared" si="109"/>
        <v>0.40647187995004236</v>
      </c>
      <c r="CR45" s="39">
        <f t="shared" si="109"/>
        <v>0.40647187995004236</v>
      </c>
      <c r="CS45" s="39">
        <f t="shared" si="109"/>
        <v>0.40647187995004236</v>
      </c>
      <c r="CT45" s="39">
        <f t="shared" si="109"/>
        <v>0.40647187995004236</v>
      </c>
      <c r="CU45" s="39">
        <f t="shared" si="109"/>
        <v>0.40647187995004236</v>
      </c>
      <c r="CV45" s="39">
        <f t="shared" si="109"/>
        <v>0.40647187995004236</v>
      </c>
      <c r="CW45" s="39">
        <f t="shared" si="109"/>
        <v>0.40647187995004236</v>
      </c>
      <c r="CX45" s="39">
        <f t="shared" si="109"/>
        <v>0.40647187995004236</v>
      </c>
      <c r="CY45" s="37">
        <f t="shared" si="109"/>
        <v>0.40647187995004236</v>
      </c>
      <c r="CZ45" s="29">
        <f t="shared" si="71"/>
        <v>100</v>
      </c>
      <c r="DB45" s="34"/>
      <c r="DC45" s="41">
        <v>0.08</v>
      </c>
      <c r="DD45" s="37">
        <f t="shared" si="72"/>
        <v>300</v>
      </c>
      <c r="DE45" s="39">
        <f t="shared" si="73"/>
        <v>193.51396726864456</v>
      </c>
      <c r="DF45" s="39">
        <f t="shared" si="74"/>
        <v>175.94057407505844</v>
      </c>
      <c r="DG45" s="39">
        <f t="shared" si="75"/>
        <v>170.13085670396003</v>
      </c>
      <c r="DH45" s="39">
        <f t="shared" si="76"/>
        <v>166.15760104988874</v>
      </c>
      <c r="DI45" s="39">
        <f t="shared" si="77"/>
        <v>162.46856098047454</v>
      </c>
      <c r="DJ45" s="39">
        <f t="shared" si="78"/>
        <v>158.8112640422311</v>
      </c>
      <c r="DK45" s="39">
        <f t="shared" si="79"/>
        <v>155.1421391947824</v>
      </c>
      <c r="DL45" s="39">
        <f t="shared" si="80"/>
        <v>151.45152623071471</v>
      </c>
      <c r="DM45" s="39">
        <f t="shared" si="81"/>
        <v>147.73545716536205</v>
      </c>
      <c r="DN45" s="39">
        <f t="shared" si="82"/>
        <v>143.9911252124148</v>
      </c>
      <c r="DO45" s="39">
        <f t="shared" si="83"/>
        <v>140.21617703511436</v>
      </c>
      <c r="DP45" s="39">
        <f t="shared" si="84"/>
        <v>136.40861929148681</v>
      </c>
      <c r="DQ45" s="39">
        <f t="shared" si="85"/>
        <v>132.56682109111122</v>
      </c>
      <c r="DR45" s="39">
        <f t="shared" si="86"/>
        <v>128.68952852716939</v>
      </c>
      <c r="DS45" s="39">
        <f t="shared" si="87"/>
        <v>124.77587761944562</v>
      </c>
      <c r="DT45" s="39">
        <f t="shared" si="88"/>
        <v>120.82540336177213</v>
      </c>
      <c r="DU45" s="39">
        <f t="shared" si="89"/>
        <v>116.83804443904414</v>
      </c>
      <c r="DV45" s="39">
        <f t="shared" si="90"/>
        <v>112.81414352170849</v>
      </c>
      <c r="DW45" s="39">
        <f t="shared" si="91"/>
        <v>108.7544431418419</v>
      </c>
      <c r="DX45" s="39">
        <f t="shared" si="92"/>
        <v>104.66007721065981</v>
      </c>
      <c r="DY45" s="39">
        <f t="shared" si="93"/>
        <v>100.5325582852787</v>
      </c>
      <c r="DZ45" s="39">
        <f t="shared" si="94"/>
        <v>96.373760737675752</v>
      </c>
      <c r="EA45" s="39">
        <f t="shared" si="95"/>
        <v>92.185900021485253</v>
      </c>
      <c r="EB45" s="39">
        <f t="shared" si="96"/>
        <v>87.971508272317962</v>
      </c>
      <c r="EC45" s="39">
        <f t="shared" si="97"/>
        <v>83.733406514382111</v>
      </c>
      <c r="ED45" s="39">
        <f t="shared" si="98"/>
        <v>79.474673780060542</v>
      </c>
      <c r="EE45" s="39">
        <f t="shared" si="99"/>
        <v>75.198613479526912</v>
      </c>
      <c r="EF45" s="39">
        <f t="shared" si="100"/>
        <v>70.908717384280067</v>
      </c>
      <c r="EG45" s="39">
        <f t="shared" si="101"/>
        <v>66.60862761148708</v>
      </c>
      <c r="EH45" s="37">
        <f t="shared" si="102"/>
        <v>62.302097015137136</v>
      </c>
    </row>
    <row r="46" spans="5:138" x14ac:dyDescent="0.25">
      <c r="E46" s="32"/>
      <c r="F46" s="41">
        <v>7.6666666666666675E-2</v>
      </c>
      <c r="G46" s="33">
        <f t="shared" si="10"/>
        <v>300</v>
      </c>
      <c r="H46" s="35">
        <f t="shared" si="11"/>
        <v>293.92274172737331</v>
      </c>
      <c r="I46" s="35">
        <f t="shared" si="12"/>
        <v>287.83901188798569</v>
      </c>
      <c r="J46" s="35">
        <f t="shared" si="13"/>
        <v>281.7424104271783</v>
      </c>
      <c r="K46" s="35">
        <f t="shared" si="14"/>
        <v>275.62667950427175</v>
      </c>
      <c r="L46" s="35">
        <f t="shared" si="15"/>
        <v>269.48577258405345</v>
      </c>
      <c r="M46" s="35">
        <f t="shared" si="16"/>
        <v>263.31392113766185</v>
      </c>
      <c r="N46" s="35">
        <f t="shared" si="17"/>
        <v>257.1056982021837</v>
      </c>
      <c r="O46" s="35">
        <f t="shared" si="18"/>
        <v>250.85607808690608</v>
      </c>
      <c r="P46" s="35">
        <f t="shared" si="19"/>
        <v>244.56049156128299</v>
      </c>
      <c r="Q46" s="35">
        <f t="shared" si="20"/>
        <v>238.21487591454576</v>
      </c>
      <c r="R46" s="35">
        <f t="shared" si="21"/>
        <v>231.81571933867508</v>
      </c>
      <c r="S46" s="35">
        <f t="shared" si="22"/>
        <v>225.36009915422446</v>
      </c>
      <c r="T46" s="35">
        <f t="shared" si="23"/>
        <v>218.84571347126354</v>
      </c>
      <c r="U46" s="35">
        <f t="shared" si="24"/>
        <v>212.27090595445284</v>
      </c>
      <c r="V46" s="35">
        <f t="shared" si="25"/>
        <v>205.63468344092621</v>
      </c>
      <c r="W46" s="35">
        <f t="shared" si="26"/>
        <v>198.9367262411867</v>
      </c>
      <c r="X46" s="35">
        <f t="shared" si="27"/>
        <v>192.17739103558742</v>
      </c>
      <c r="Y46" s="35">
        <f t="shared" si="28"/>
        <v>185.35770636117417</v>
      </c>
      <c r="Z46" s="35">
        <f t="shared" si="29"/>
        <v>178.47936076476947</v>
      </c>
      <c r="AA46" s="35">
        <f t="shared" si="30"/>
        <v>171.5446837772943</v>
      </c>
      <c r="AB46" s="35">
        <f t="shared" si="31"/>
        <v>164.55661994064963</v>
      </c>
      <c r="AC46" s="35">
        <f t="shared" si="32"/>
        <v>157.51869619127862</v>
      </c>
      <c r="AD46" s="35">
        <f t="shared" si="33"/>
        <v>150.43498297315728</v>
      </c>
      <c r="AE46" s="35">
        <f t="shared" si="34"/>
        <v>143.31004951684307</v>
      </c>
      <c r="AF46" s="35">
        <f t="shared" si="35"/>
        <v>136.14891377986217</v>
      </c>
      <c r="AG46" s="35">
        <f t="shared" si="36"/>
        <v>128.95698759671919</v>
      </c>
      <c r="AH46" s="35">
        <f t="shared" si="37"/>
        <v>121.74001763382803</v>
      </c>
      <c r="AI46" s="35">
        <f t="shared" si="38"/>
        <v>114.50402278540847</v>
      </c>
      <c r="AJ46" s="35">
        <f t="shared" si="103"/>
        <v>107.2552286806455</v>
      </c>
      <c r="AK46" s="33">
        <f t="shared" si="39"/>
        <v>100</v>
      </c>
      <c r="AL46" s="34"/>
      <c r="AM46" s="30">
        <v>7.6666666666666675E-2</v>
      </c>
      <c r="AN46" s="37">
        <f t="shared" si="40"/>
        <v>-1076400000</v>
      </c>
      <c r="AO46" s="38">
        <f t="shared" si="104"/>
        <v>-1054621589.6042054</v>
      </c>
      <c r="AP46" s="38">
        <f t="shared" si="41"/>
        <v>-1032819663.1667705</v>
      </c>
      <c r="AQ46" s="38">
        <f t="shared" si="42"/>
        <v>-1010970964.585806</v>
      </c>
      <c r="AR46" s="38">
        <f t="shared" si="43"/>
        <v>-989052754.69019818</v>
      </c>
      <c r="AS46" s="38">
        <f t="shared" si="44"/>
        <v>-967043062.36994147</v>
      </c>
      <c r="AT46" s="38">
        <f t="shared" si="45"/>
        <v>-944920927.00674927</v>
      </c>
      <c r="AU46" s="38">
        <f t="shared" si="46"/>
        <v>-922666629.47380459</v>
      </c>
      <c r="AV46" s="38">
        <f t="shared" si="47"/>
        <v>-900261909.11464942</v>
      </c>
      <c r="AW46" s="38">
        <f t="shared" si="48"/>
        <v>-877690164.28329587</v>
      </c>
      <c r="AX46" s="38">
        <f t="shared" si="49"/>
        <v>-854936634.22800279</v>
      </c>
      <c r="AY46" s="38">
        <f t="shared" si="50"/>
        <v>-831988560.32668722</v>
      </c>
      <c r="AZ46" s="38">
        <f t="shared" si="51"/>
        <v>-808835324.92919004</v>
      </c>
      <c r="BA46" s="38">
        <f t="shared" si="52"/>
        <v>-785468566.32703173</v>
      </c>
      <c r="BB46" s="38">
        <f t="shared" si="53"/>
        <v>-761882268.65098095</v>
      </c>
      <c r="BC46" s="38">
        <f t="shared" si="54"/>
        <v>-738072825.78696465</v>
      </c>
      <c r="BD46" s="38">
        <f t="shared" si="55"/>
        <v>-714039078.69763756</v>
      </c>
      <c r="BE46" s="38">
        <f t="shared" si="56"/>
        <v>-689782325.83657765</v>
      </c>
      <c r="BF46" s="38">
        <f t="shared" si="57"/>
        <v>-665306306.64093781</v>
      </c>
      <c r="BG46" s="38">
        <f t="shared" si="58"/>
        <v>-640617158.38302457</v>
      </c>
      <c r="BH46" s="38">
        <f t="shared" si="59"/>
        <v>-615723346.94849372</v>
      </c>
      <c r="BI46" s="38">
        <f t="shared" si="60"/>
        <v>-590635572.3857379</v>
      </c>
      <c r="BJ46" s="38">
        <f t="shared" si="61"/>
        <v>-565366650.33493435</v>
      </c>
      <c r="BK46" s="38">
        <f t="shared" si="62"/>
        <v>-539931370.69380701</v>
      </c>
      <c r="BL46" s="38">
        <f t="shared" si="63"/>
        <v>-514346335.10839319</v>
      </c>
      <c r="BM46" s="38">
        <f t="shared" si="64"/>
        <v>-488629775.08925676</v>
      </c>
      <c r="BN46" s="38">
        <f t="shared" si="65"/>
        <v>-462801352.74518591</v>
      </c>
      <c r="BO46" s="38">
        <f t="shared" si="66"/>
        <v>-436881946.2962628</v>
      </c>
      <c r="BP46" s="38">
        <f t="shared" si="67"/>
        <v>-410893422.67530733</v>
      </c>
      <c r="BQ46" s="38">
        <f t="shared" si="68"/>
        <v>-384858399.6503098</v>
      </c>
      <c r="BR46" s="37">
        <f t="shared" si="69"/>
        <v>-358800000</v>
      </c>
      <c r="BT46" s="34"/>
      <c r="BU46" s="41">
        <v>7.6666666666666675E-2</v>
      </c>
      <c r="BV46" s="37">
        <v>0</v>
      </c>
      <c r="BW46" s="39">
        <f t="shared" ref="BW46:CY46" si="110">$B$20/($B$21-$B$22*BV46)</f>
        <v>0.34883720930232553</v>
      </c>
      <c r="BX46" s="39">
        <f t="shared" si="110"/>
        <v>0.39716748768472904</v>
      </c>
      <c r="BY46" s="39">
        <f t="shared" si="110"/>
        <v>0.40494040593779607</v>
      </c>
      <c r="BZ46" s="39">
        <f t="shared" si="110"/>
        <v>0.4062190081621499</v>
      </c>
      <c r="CA46" s="39">
        <f t="shared" si="110"/>
        <v>0.40643010492156101</v>
      </c>
      <c r="CB46" s="39">
        <f t="shared" si="110"/>
        <v>0.40646497802255066</v>
      </c>
      <c r="CC46" s="39">
        <f t="shared" si="110"/>
        <v>0.40647073962099717</v>
      </c>
      <c r="CD46" s="39">
        <f t="shared" si="110"/>
        <v>0.40647169154566137</v>
      </c>
      <c r="CE46" s="39">
        <f t="shared" si="110"/>
        <v>0.40647184882198806</v>
      </c>
      <c r="CF46" s="39">
        <f t="shared" si="110"/>
        <v>0.40647187480708435</v>
      </c>
      <c r="CG46" s="39">
        <f t="shared" si="110"/>
        <v>0.40647187910032606</v>
      </c>
      <c r="CH46" s="39">
        <f t="shared" si="110"/>
        <v>0.40647187980965277</v>
      </c>
      <c r="CI46" s="39">
        <f t="shared" si="110"/>
        <v>0.4064718799268473</v>
      </c>
      <c r="CJ46" s="39">
        <f t="shared" si="110"/>
        <v>0.40647187994621015</v>
      </c>
      <c r="CK46" s="39">
        <f t="shared" si="110"/>
        <v>0.40647187994940925</v>
      </c>
      <c r="CL46" s="39">
        <f t="shared" si="110"/>
        <v>0.40647187994993778</v>
      </c>
      <c r="CM46" s="39">
        <f t="shared" si="110"/>
        <v>0.40647187995002515</v>
      </c>
      <c r="CN46" s="39">
        <f t="shared" si="110"/>
        <v>0.40647187995003953</v>
      </c>
      <c r="CO46" s="39">
        <f t="shared" si="110"/>
        <v>0.40647187995004191</v>
      </c>
      <c r="CP46" s="39">
        <f t="shared" si="110"/>
        <v>0.40647187995004236</v>
      </c>
      <c r="CQ46" s="39">
        <f t="shared" si="110"/>
        <v>0.40647187995004236</v>
      </c>
      <c r="CR46" s="39">
        <f t="shared" si="110"/>
        <v>0.40647187995004236</v>
      </c>
      <c r="CS46" s="39">
        <f t="shared" si="110"/>
        <v>0.40647187995004236</v>
      </c>
      <c r="CT46" s="39">
        <f t="shared" si="110"/>
        <v>0.40647187995004236</v>
      </c>
      <c r="CU46" s="39">
        <f t="shared" si="110"/>
        <v>0.40647187995004236</v>
      </c>
      <c r="CV46" s="39">
        <f t="shared" si="110"/>
        <v>0.40647187995004236</v>
      </c>
      <c r="CW46" s="39">
        <f t="shared" si="110"/>
        <v>0.40647187995004236</v>
      </c>
      <c r="CX46" s="39">
        <f t="shared" si="110"/>
        <v>0.40647187995004236</v>
      </c>
      <c r="CY46" s="37">
        <f t="shared" si="110"/>
        <v>0.40647187995004236</v>
      </c>
      <c r="CZ46" s="29">
        <f t="shared" si="71"/>
        <v>100</v>
      </c>
      <c r="DB46" s="34"/>
      <c r="DC46" s="41">
        <v>7.6666666666666675E-2</v>
      </c>
      <c r="DD46" s="37">
        <f t="shared" si="72"/>
        <v>300</v>
      </c>
      <c r="DE46" s="39">
        <f t="shared" si="73"/>
        <v>193.51378409202945</v>
      </c>
      <c r="DF46" s="39">
        <f t="shared" si="74"/>
        <v>175.94008656438348</v>
      </c>
      <c r="DG46" s="39">
        <f t="shared" si="75"/>
        <v>170.13003094143167</v>
      </c>
      <c r="DH46" s="39">
        <f t="shared" si="76"/>
        <v>166.15643625136687</v>
      </c>
      <c r="DI46" s="39">
        <f t="shared" si="77"/>
        <v>162.4670679887659</v>
      </c>
      <c r="DJ46" s="39">
        <f t="shared" si="78"/>
        <v>158.80945916843874</v>
      </c>
      <c r="DK46" s="39">
        <f t="shared" si="79"/>
        <v>155.14004260377638</v>
      </c>
      <c r="DL46" s="39">
        <f t="shared" si="80"/>
        <v>151.44916139675294</v>
      </c>
      <c r="DM46" s="39">
        <f t="shared" si="81"/>
        <v>147.7328505313971</v>
      </c>
      <c r="DN46" s="39">
        <f t="shared" si="82"/>
        <v>143.98830586520162</v>
      </c>
      <c r="DO46" s="39">
        <f t="shared" si="83"/>
        <v>140.21317636122168</v>
      </c>
      <c r="DP46" s="39">
        <f t="shared" si="84"/>
        <v>136.40547061127532</v>
      </c>
      <c r="DQ46" s="39">
        <f t="shared" si="85"/>
        <v>132.5635592741821</v>
      </c>
      <c r="DR46" s="39">
        <f t="shared" si="86"/>
        <v>128.68618959407576</v>
      </c>
      <c r="DS46" s="39">
        <f t="shared" si="87"/>
        <v>124.77249833469007</v>
      </c>
      <c r="DT46" s="39">
        <f t="shared" si="88"/>
        <v>120.82202082307717</v>
      </c>
      <c r="DU46" s="39">
        <f t="shared" si="89"/>
        <v>116.83469566773623</v>
      </c>
      <c r="DV46" s="39">
        <f t="shared" si="90"/>
        <v>112.81086505883701</v>
      </c>
      <c r="DW46" s="39">
        <f t="shared" si="91"/>
        <v>108.75127065437719</v>
      </c>
      <c r="DX46" s="39">
        <f t="shared" si="92"/>
        <v>104.65704511179382</v>
      </c>
      <c r="DY46" s="39">
        <f t="shared" si="93"/>
        <v>100.52969937250101</v>
      </c>
      <c r="DZ46" s="39">
        <f t="shared" si="94"/>
        <v>96.371105851926771</v>
      </c>
      <c r="EA46" s="39">
        <f t="shared" si="95"/>
        <v>92.183477730312418</v>
      </c>
      <c r="EB46" s="39">
        <f t="shared" si="96"/>
        <v>87.969344579586263</v>
      </c>
      <c r="EC46" s="39">
        <f t="shared" si="97"/>
        <v>83.731524598729436</v>
      </c>
      <c r="ED46" s="39">
        <f t="shared" si="98"/>
        <v>79.473093763945798</v>
      </c>
      <c r="EE46" s="39">
        <f t="shared" si="99"/>
        <v>75.197352230400568</v>
      </c>
      <c r="EF46" s="39">
        <f t="shared" si="100"/>
        <v>70.907788349114782</v>
      </c>
      <c r="EG46" s="39">
        <f t="shared" si="101"/>
        <v>66.608040685641257</v>
      </c>
      <c r="EH46" s="37">
        <f t="shared" si="102"/>
        <v>62.301858446285195</v>
      </c>
    </row>
    <row r="47" spans="5:138" x14ac:dyDescent="0.25">
      <c r="E47" s="32"/>
      <c r="F47" s="41">
        <v>7.3333333333333334E-2</v>
      </c>
      <c r="G47" s="33">
        <f t="shared" si="10"/>
        <v>300</v>
      </c>
      <c r="H47" s="35">
        <f t="shared" si="11"/>
        <v>293.92206233030527</v>
      </c>
      <c r="I47" s="35">
        <f t="shared" si="12"/>
        <v>287.83766074599123</v>
      </c>
      <c r="J47" s="35">
        <f t="shared" si="13"/>
        <v>281.74040275155988</v>
      </c>
      <c r="K47" s="35">
        <f t="shared" si="14"/>
        <v>275.62403788095264</v>
      </c>
      <c r="L47" s="35">
        <f t="shared" si="15"/>
        <v>269.48252670028648</v>
      </c>
      <c r="M47" s="35">
        <f t="shared" si="16"/>
        <v>263.31010742411843</v>
      </c>
      <c r="N47" s="35">
        <f t="shared" si="17"/>
        <v>257.10135939577935</v>
      </c>
      <c r="O47" s="35">
        <f t="shared" si="18"/>
        <v>250.85126272082402</v>
      </c>
      <c r="P47" s="35">
        <f t="shared" si="19"/>
        <v>244.55525338961581</v>
      </c>
      <c r="Q47" s="35">
        <f t="shared" si="20"/>
        <v>238.2092732797729</v>
      </c>
      <c r="R47" s="35">
        <f t="shared" si="21"/>
        <v>231.80981449081594</v>
      </c>
      <c r="S47" s="35">
        <f t="shared" si="22"/>
        <v>225.35395753094917</v>
      </c>
      <c r="T47" s="35">
        <f t="shared" si="23"/>
        <v>218.83940294850368</v>
      </c>
      <c r="U47" s="35">
        <f t="shared" si="24"/>
        <v>212.26449607713724</v>
      </c>
      <c r="V47" s="35">
        <f t="shared" si="25"/>
        <v>205.62824464338382</v>
      </c>
      <c r="W47" s="35">
        <f t="shared" si="26"/>
        <v>198.93032906652206</v>
      </c>
      <c r="X47" s="35">
        <f t="shared" si="27"/>
        <v>192.17110536296289</v>
      </c>
      <c r="Y47" s="35">
        <f t="shared" si="28"/>
        <v>185.3516006494487</v>
      </c>
      <c r="Z47" s="35">
        <f t="shared" si="29"/>
        <v>178.47350132036797</v>
      </c>
      <c r="AA47" s="35">
        <f t="shared" si="30"/>
        <v>171.53913405353842</v>
      </c>
      <c r="AB47" s="35">
        <f t="shared" si="31"/>
        <v>164.55143987509373</v>
      </c>
      <c r="AC47" s="35">
        <f t="shared" si="32"/>
        <v>157.51394158688657</v>
      </c>
      <c r="AD47" s="35">
        <f t="shared" si="33"/>
        <v>150.43070492844433</v>
      </c>
      <c r="AE47" s="35">
        <f t="shared" si="34"/>
        <v>143.30629390941488</v>
      </c>
      <c r="AF47" s="35">
        <f t="shared" si="35"/>
        <v>136.14572080711793</v>
      </c>
      <c r="AG47" s="35">
        <f t="shared" si="36"/>
        <v>128.95439137686429</v>
      </c>
      <c r="AH47" s="35">
        <f t="shared" si="37"/>
        <v>121.73804586976574</v>
      </c>
      <c r="AI47" s="35">
        <f t="shared" si="38"/>
        <v>114.50269649355425</v>
      </c>
      <c r="AJ47" s="35">
        <f t="shared" si="103"/>
        <v>107.25456198623115</v>
      </c>
      <c r="AK47" s="33">
        <f t="shared" si="39"/>
        <v>100</v>
      </c>
      <c r="AL47" s="34"/>
      <c r="AM47" s="30">
        <v>7.3333333333333334E-2</v>
      </c>
      <c r="AN47" s="37">
        <f t="shared" si="40"/>
        <v>-1076400000</v>
      </c>
      <c r="AO47" s="38">
        <f t="shared" si="104"/>
        <v>-1054619120.2476593</v>
      </c>
      <c r="AP47" s="38">
        <f t="shared" si="41"/>
        <v>-1032814752.2945019</v>
      </c>
      <c r="AQ47" s="38">
        <f t="shared" si="42"/>
        <v>-1010963667.539965</v>
      </c>
      <c r="AR47" s="38">
        <f t="shared" si="43"/>
        <v>-989043153.64050221</v>
      </c>
      <c r="AS47" s="38">
        <f t="shared" si="44"/>
        <v>-967031265.31600595</v>
      </c>
      <c r="AT47" s="38">
        <f t="shared" si="45"/>
        <v>-944907066.47172523</v>
      </c>
      <c r="AU47" s="38">
        <f t="shared" si="46"/>
        <v>-922650860.90904737</v>
      </c>
      <c r="AV47" s="38">
        <f t="shared" si="47"/>
        <v>-900244409.03920352</v>
      </c>
      <c r="AW47" s="38">
        <f t="shared" si="48"/>
        <v>-877671128.18548918</v>
      </c>
      <c r="AX47" s="38">
        <f t="shared" si="49"/>
        <v>-854916274.25935745</v>
      </c>
      <c r="AY47" s="38">
        <f t="shared" si="50"/>
        <v>-831967102.82061398</v>
      </c>
      <c r="AZ47" s="38">
        <f t="shared" si="51"/>
        <v>-808813007.7785219</v>
      </c>
      <c r="BA47" s="38">
        <f t="shared" si="52"/>
        <v>-785445636.25536418</v>
      </c>
      <c r="BB47" s="38">
        <f t="shared" si="53"/>
        <v>-761858978.41305053</v>
      </c>
      <c r="BC47" s="38">
        <f t="shared" si="54"/>
        <v>-738049431.33292973</v>
      </c>
      <c r="BD47" s="38">
        <f t="shared" si="55"/>
        <v>-714015836.33520865</v>
      </c>
      <c r="BE47" s="38">
        <f t="shared" si="56"/>
        <v>-689759489.42352474</v>
      </c>
      <c r="BF47" s="38">
        <f t="shared" si="57"/>
        <v>-665284124.83866775</v>
      </c>
      <c r="BG47" s="38">
        <f t="shared" si="58"/>
        <v>-640595871.99976051</v>
      </c>
      <c r="BH47" s="38">
        <f t="shared" si="59"/>
        <v>-615703186.39818227</v>
      </c>
      <c r="BI47" s="38">
        <f t="shared" si="60"/>
        <v>-590616755.28625321</v>
      </c>
      <c r="BJ47" s="38">
        <f t="shared" si="61"/>
        <v>-565349379.26652229</v>
      </c>
      <c r="BK47" s="38">
        <f t="shared" si="62"/>
        <v>-539915831.13608956</v>
      </c>
      <c r="BL47" s="38">
        <f t="shared" si="63"/>
        <v>-514332693.57170796</v>
      </c>
      <c r="BM47" s="38">
        <f t="shared" si="64"/>
        <v>-488618177.45367992</v>
      </c>
      <c r="BN47" s="38">
        <f t="shared" si="65"/>
        <v>-462791922.81832731</v>
      </c>
      <c r="BO47" s="38">
        <f t="shared" si="66"/>
        <v>-436874784.59884727</v>
      </c>
      <c r="BP47" s="38">
        <f t="shared" si="67"/>
        <v>-410888605.46167481</v>
      </c>
      <c r="BQ47" s="38">
        <f t="shared" si="68"/>
        <v>-384855978.16927689</v>
      </c>
      <c r="BR47" s="37">
        <f t="shared" si="69"/>
        <v>-358800000</v>
      </c>
      <c r="BT47" s="34"/>
      <c r="BU47" s="41">
        <v>7.3333333333333334E-2</v>
      </c>
      <c r="BV47" s="37">
        <v>0</v>
      </c>
      <c r="BW47" s="39">
        <f t="shared" ref="BW47:CY47" si="111">$B$20/($B$21-$B$22*BV47)</f>
        <v>0.34883720930232553</v>
      </c>
      <c r="BX47" s="39">
        <f t="shared" si="111"/>
        <v>0.39716748768472904</v>
      </c>
      <c r="BY47" s="39">
        <f t="shared" si="111"/>
        <v>0.40494040593779607</v>
      </c>
      <c r="BZ47" s="39">
        <f t="shared" si="111"/>
        <v>0.4062190081621499</v>
      </c>
      <c r="CA47" s="39">
        <f t="shared" si="111"/>
        <v>0.40643010492156101</v>
      </c>
      <c r="CB47" s="39">
        <f t="shared" si="111"/>
        <v>0.40646497802255066</v>
      </c>
      <c r="CC47" s="39">
        <f t="shared" si="111"/>
        <v>0.40647073962099717</v>
      </c>
      <c r="CD47" s="39">
        <f t="shared" si="111"/>
        <v>0.40647169154566137</v>
      </c>
      <c r="CE47" s="39">
        <f t="shared" si="111"/>
        <v>0.40647184882198806</v>
      </c>
      <c r="CF47" s="39">
        <f t="shared" si="111"/>
        <v>0.40647187480708435</v>
      </c>
      <c r="CG47" s="39">
        <f t="shared" si="111"/>
        <v>0.40647187910032606</v>
      </c>
      <c r="CH47" s="39">
        <f t="shared" si="111"/>
        <v>0.40647187980965277</v>
      </c>
      <c r="CI47" s="39">
        <f t="shared" si="111"/>
        <v>0.4064718799268473</v>
      </c>
      <c r="CJ47" s="39">
        <f t="shared" si="111"/>
        <v>0.40647187994621015</v>
      </c>
      <c r="CK47" s="39">
        <f t="shared" si="111"/>
        <v>0.40647187994940925</v>
      </c>
      <c r="CL47" s="39">
        <f t="shared" si="111"/>
        <v>0.40647187994993778</v>
      </c>
      <c r="CM47" s="39">
        <f t="shared" si="111"/>
        <v>0.40647187995002515</v>
      </c>
      <c r="CN47" s="39">
        <f t="shared" si="111"/>
        <v>0.40647187995003953</v>
      </c>
      <c r="CO47" s="39">
        <f t="shared" si="111"/>
        <v>0.40647187995004191</v>
      </c>
      <c r="CP47" s="39">
        <f t="shared" si="111"/>
        <v>0.40647187995004236</v>
      </c>
      <c r="CQ47" s="39">
        <f t="shared" si="111"/>
        <v>0.40647187995004236</v>
      </c>
      <c r="CR47" s="39">
        <f t="shared" si="111"/>
        <v>0.40647187995004236</v>
      </c>
      <c r="CS47" s="39">
        <f t="shared" si="111"/>
        <v>0.40647187995004236</v>
      </c>
      <c r="CT47" s="39">
        <f t="shared" si="111"/>
        <v>0.40647187995004236</v>
      </c>
      <c r="CU47" s="39">
        <f t="shared" si="111"/>
        <v>0.40647187995004236</v>
      </c>
      <c r="CV47" s="39">
        <f t="shared" si="111"/>
        <v>0.40647187995004236</v>
      </c>
      <c r="CW47" s="39">
        <f t="shared" si="111"/>
        <v>0.40647187995004236</v>
      </c>
      <c r="CX47" s="39">
        <f t="shared" si="111"/>
        <v>0.40647187995004236</v>
      </c>
      <c r="CY47" s="37">
        <f t="shared" si="111"/>
        <v>0.40647187995004236</v>
      </c>
      <c r="CZ47" s="29">
        <f t="shared" si="71"/>
        <v>100</v>
      </c>
      <c r="DB47" s="34"/>
      <c r="DC47" s="41">
        <v>7.3333333333333334E-2</v>
      </c>
      <c r="DD47" s="37">
        <f t="shared" si="72"/>
        <v>300</v>
      </c>
      <c r="DE47" s="39">
        <f t="shared" si="73"/>
        <v>193.51357602356418</v>
      </c>
      <c r="DF47" s="39">
        <f t="shared" si="74"/>
        <v>175.93953280587044</v>
      </c>
      <c r="DG47" s="39">
        <f t="shared" si="75"/>
        <v>170.12909296583243</v>
      </c>
      <c r="DH47" s="39">
        <f t="shared" si="76"/>
        <v>166.15511316773217</v>
      </c>
      <c r="DI47" s="39">
        <f t="shared" si="77"/>
        <v>162.46537211299452</v>
      </c>
      <c r="DJ47" s="39">
        <f t="shared" si="78"/>
        <v>158.80740902774511</v>
      </c>
      <c r="DK47" s="39">
        <f t="shared" si="79"/>
        <v>155.13766110278496</v>
      </c>
      <c r="DL47" s="39">
        <f t="shared" si="80"/>
        <v>151.44647519916904</v>
      </c>
      <c r="DM47" s="39">
        <f t="shared" si="81"/>
        <v>147.72988967304434</v>
      </c>
      <c r="DN47" s="39">
        <f t="shared" si="82"/>
        <v>143.98510338500853</v>
      </c>
      <c r="DO47" s="39">
        <f t="shared" si="83"/>
        <v>140.20976791051595</v>
      </c>
      <c r="DP47" s="39">
        <f t="shared" si="84"/>
        <v>136.40189403804882</v>
      </c>
      <c r="DQ47" s="39">
        <f t="shared" si="85"/>
        <v>132.55985418630482</v>
      </c>
      <c r="DR47" s="39">
        <f t="shared" si="86"/>
        <v>128.6823969069018</v>
      </c>
      <c r="DS47" s="39">
        <f t="shared" si="87"/>
        <v>124.76865980875999</v>
      </c>
      <c r="DT47" s="39">
        <f t="shared" si="88"/>
        <v>120.81817859758095</v>
      </c>
      <c r="DU47" s="39">
        <f t="shared" si="89"/>
        <v>116.83089179523517</v>
      </c>
      <c r="DV47" s="39">
        <f t="shared" si="90"/>
        <v>112.80714104649287</v>
      </c>
      <c r="DW47" s="39">
        <f t="shared" si="91"/>
        <v>108.74766701662396</v>
      </c>
      <c r="DX47" s="39">
        <f t="shared" si="92"/>
        <v>104.6536009390227</v>
      </c>
      <c r="DY47" s="39">
        <f t="shared" si="93"/>
        <v>100.52645191993079</v>
      </c>
      <c r="DZ47" s="39">
        <f t="shared" si="94"/>
        <v>96.368090152411696</v>
      </c>
      <c r="EA47" s="39">
        <f t="shared" si="95"/>
        <v>92.180726234411168</v>
      </c>
      <c r="EB47" s="39">
        <f t="shared" si="96"/>
        <v>87.966886825792045</v>
      </c>
      <c r="EC47" s="39">
        <f t="shared" si="97"/>
        <v>83.729386916350364</v>
      </c>
      <c r="ED47" s="39">
        <f t="shared" si="98"/>
        <v>79.471299010736132</v>
      </c>
      <c r="EE47" s="39">
        <f t="shared" si="99"/>
        <v>75.195919566681624</v>
      </c>
      <c r="EF47" s="39">
        <f t="shared" si="100"/>
        <v>70.906733049792535</v>
      </c>
      <c r="EG47" s="39">
        <f t="shared" si="101"/>
        <v>66.607373991226922</v>
      </c>
      <c r="EH47" s="37">
        <f t="shared" si="102"/>
        <v>62.30158745375325</v>
      </c>
    </row>
    <row r="48" spans="5:138" x14ac:dyDescent="0.25">
      <c r="E48" s="32"/>
      <c r="F48" s="41">
        <v>7.0000000000000007E-2</v>
      </c>
      <c r="G48" s="33">
        <f t="shared" si="10"/>
        <v>300</v>
      </c>
      <c r="H48" s="35">
        <f t="shared" si="11"/>
        <v>293.92130972330568</v>
      </c>
      <c r="I48" s="35">
        <f t="shared" si="12"/>
        <v>287.83616400848069</v>
      </c>
      <c r="J48" s="35">
        <f t="shared" si="13"/>
        <v>281.73817873352834</v>
      </c>
      <c r="K48" s="35">
        <f t="shared" si="14"/>
        <v>275.62111160148959</v>
      </c>
      <c r="L48" s="35">
        <f t="shared" si="15"/>
        <v>269.47893104487605</v>
      </c>
      <c r="M48" s="35">
        <f t="shared" si="16"/>
        <v>263.30588274820457</v>
      </c>
      <c r="N48" s="35">
        <f t="shared" si="17"/>
        <v>257.09655304053388</v>
      </c>
      <c r="O48" s="35">
        <f t="shared" si="18"/>
        <v>250.84592844827239</v>
      </c>
      <c r="P48" s="35">
        <f t="shared" si="19"/>
        <v>244.54945074533762</v>
      </c>
      <c r="Q48" s="35">
        <f t="shared" si="20"/>
        <v>238.20306689227755</v>
      </c>
      <c r="R48" s="35">
        <f t="shared" si="21"/>
        <v>231.8032733173836</v>
      </c>
      <c r="S48" s="35">
        <f t="shared" si="22"/>
        <v>225.34715406021613</v>
      </c>
      <c r="T48" s="35">
        <f t="shared" si="23"/>
        <v>218.8324123703606</v>
      </c>
      <c r="U48" s="35">
        <f t="shared" si="24"/>
        <v>212.2573954306007</v>
      </c>
      <c r="V48" s="35">
        <f t="shared" si="25"/>
        <v>205.62111195300992</v>
      </c>
      <c r="W48" s="35">
        <f t="shared" si="26"/>
        <v>198.92324247766879</v>
      </c>
      <c r="X48" s="35">
        <f t="shared" si="27"/>
        <v>192.16414228579828</v>
      </c>
      <c r="Y48" s="35">
        <f t="shared" si="28"/>
        <v>185.344836921065</v>
      </c>
      <c r="Z48" s="35">
        <f t="shared" si="29"/>
        <v>178.46701039372488</v>
      </c>
      <c r="AA48" s="35">
        <f t="shared" si="30"/>
        <v>171.53298622124697</v>
      </c>
      <c r="AB48" s="35">
        <f t="shared" si="31"/>
        <v>164.54570153529107</v>
      </c>
      <c r="AC48" s="35">
        <f t="shared" si="32"/>
        <v>157.50867455766823</v>
      </c>
      <c r="AD48" s="35">
        <f t="shared" si="33"/>
        <v>150.42596581653365</v>
      </c>
      <c r="AE48" s="35">
        <f t="shared" si="34"/>
        <v>143.30213353798075</v>
      </c>
      <c r="AF48" s="35">
        <f t="shared" si="35"/>
        <v>136.14218370691765</v>
      </c>
      <c r="AG48" s="35">
        <f t="shared" si="36"/>
        <v>128.95151534419776</v>
      </c>
      <c r="AH48" s="35">
        <f t="shared" si="37"/>
        <v>121.73586159409041</v>
      </c>
      <c r="AI48" s="35">
        <f t="shared" si="38"/>
        <v>114.50122725702758</v>
      </c>
      <c r="AJ48" s="35">
        <f t="shared" si="103"/>
        <v>107.25382343691771</v>
      </c>
      <c r="AK48" s="33">
        <f t="shared" si="39"/>
        <v>100</v>
      </c>
      <c r="AL48" s="34"/>
      <c r="AM48" s="30">
        <v>7.0000000000000007E-2</v>
      </c>
      <c r="AN48" s="37">
        <f t="shared" si="40"/>
        <v>-1076400000</v>
      </c>
      <c r="AO48" s="38">
        <f t="shared" si="104"/>
        <v>-1054616384.8010813</v>
      </c>
      <c r="AP48" s="38">
        <f t="shared" si="41"/>
        <v>-1032809312.241356</v>
      </c>
      <c r="AQ48" s="38">
        <f t="shared" si="42"/>
        <v>-1010955584.1842369</v>
      </c>
      <c r="AR48" s="38">
        <f t="shared" si="43"/>
        <v>-989032518.00388455</v>
      </c>
      <c r="AS48" s="38">
        <f t="shared" si="44"/>
        <v>-967018197.03285515</v>
      </c>
      <c r="AT48" s="38">
        <f t="shared" si="45"/>
        <v>-944891712.34209454</v>
      </c>
      <c r="AU48" s="38">
        <f t="shared" si="46"/>
        <v>-922633393.13164139</v>
      </c>
      <c r="AV48" s="38">
        <f t="shared" si="47"/>
        <v>-900225023.15058911</v>
      </c>
      <c r="AW48" s="38">
        <f t="shared" si="48"/>
        <v>-877650040.73579001</v>
      </c>
      <c r="AX48" s="38">
        <f t="shared" si="49"/>
        <v>-854893720.2578845</v>
      </c>
      <c r="AY48" s="38">
        <f t="shared" si="50"/>
        <v>-831943332.98738444</v>
      </c>
      <c r="AZ48" s="38">
        <f t="shared" si="51"/>
        <v>-808788285.63938439</v>
      </c>
      <c r="BA48" s="38">
        <f t="shared" si="52"/>
        <v>-785420235.11945796</v>
      </c>
      <c r="BB48" s="38">
        <f t="shared" si="53"/>
        <v>-761833178.27161527</v>
      </c>
      <c r="BC48" s="38">
        <f t="shared" si="54"/>
        <v>-738023515.718086</v>
      </c>
      <c r="BD48" s="38">
        <f t="shared" si="55"/>
        <v>-713990089.17630732</v>
      </c>
      <c r="BE48" s="38">
        <f t="shared" si="56"/>
        <v>-689734191.93709612</v>
      </c>
      <c r="BF48" s="38">
        <f t="shared" si="57"/>
        <v>-665259552.48597348</v>
      </c>
      <c r="BG48" s="38">
        <f t="shared" si="58"/>
        <v>-640572291.54355574</v>
      </c>
      <c r="BH48" s="38">
        <f t="shared" si="59"/>
        <v>-615680853.08763278</v>
      </c>
      <c r="BI48" s="38">
        <f t="shared" si="60"/>
        <v>-590595910.19612563</v>
      </c>
      <c r="BJ48" s="38">
        <f t="shared" si="61"/>
        <v>-565330246.81385219</v>
      </c>
      <c r="BK48" s="38">
        <f t="shared" si="62"/>
        <v>-539898616.7946347</v>
      </c>
      <c r="BL48" s="38">
        <f t="shared" si="63"/>
        <v>-514317581.80166745</v>
      </c>
      <c r="BM48" s="38">
        <f t="shared" si="64"/>
        <v>-488605329.86147994</v>
      </c>
      <c r="BN48" s="38">
        <f t="shared" si="65"/>
        <v>-462781476.55876565</v>
      </c>
      <c r="BO48" s="38">
        <f t="shared" si="66"/>
        <v>-436866851.02959228</v>
      </c>
      <c r="BP48" s="38">
        <f t="shared" si="67"/>
        <v>-410883269.05802971</v>
      </c>
      <c r="BQ48" s="38">
        <f t="shared" si="68"/>
        <v>-384853295.70524544</v>
      </c>
      <c r="BR48" s="37">
        <f t="shared" si="69"/>
        <v>-358800000</v>
      </c>
      <c r="BT48" s="34"/>
      <c r="BU48" s="41">
        <v>7.0000000000000007E-2</v>
      </c>
      <c r="BV48" s="37">
        <v>0</v>
      </c>
      <c r="BW48" s="39">
        <f t="shared" ref="BW48:CY48" si="112">$B$20/($B$21-$B$22*BV48)</f>
        <v>0.34883720930232553</v>
      </c>
      <c r="BX48" s="39">
        <f t="shared" si="112"/>
        <v>0.39716748768472904</v>
      </c>
      <c r="BY48" s="39">
        <f t="shared" si="112"/>
        <v>0.40494040593779607</v>
      </c>
      <c r="BZ48" s="39">
        <f t="shared" si="112"/>
        <v>0.4062190081621499</v>
      </c>
      <c r="CA48" s="39">
        <f t="shared" si="112"/>
        <v>0.40643010492156101</v>
      </c>
      <c r="CB48" s="39">
        <f t="shared" si="112"/>
        <v>0.40646497802255066</v>
      </c>
      <c r="CC48" s="39">
        <f t="shared" si="112"/>
        <v>0.40647073962099717</v>
      </c>
      <c r="CD48" s="39">
        <f t="shared" si="112"/>
        <v>0.40647169154566137</v>
      </c>
      <c r="CE48" s="39">
        <f t="shared" si="112"/>
        <v>0.40647184882198806</v>
      </c>
      <c r="CF48" s="39">
        <f t="shared" si="112"/>
        <v>0.40647187480708435</v>
      </c>
      <c r="CG48" s="39">
        <f t="shared" si="112"/>
        <v>0.40647187910032606</v>
      </c>
      <c r="CH48" s="39">
        <f t="shared" si="112"/>
        <v>0.40647187980965277</v>
      </c>
      <c r="CI48" s="39">
        <f t="shared" si="112"/>
        <v>0.4064718799268473</v>
      </c>
      <c r="CJ48" s="39">
        <f t="shared" si="112"/>
        <v>0.40647187994621015</v>
      </c>
      <c r="CK48" s="39">
        <f t="shared" si="112"/>
        <v>0.40647187994940925</v>
      </c>
      <c r="CL48" s="39">
        <f t="shared" si="112"/>
        <v>0.40647187994993778</v>
      </c>
      <c r="CM48" s="39">
        <f t="shared" si="112"/>
        <v>0.40647187995002515</v>
      </c>
      <c r="CN48" s="39">
        <f t="shared" si="112"/>
        <v>0.40647187995003953</v>
      </c>
      <c r="CO48" s="39">
        <f t="shared" si="112"/>
        <v>0.40647187995004191</v>
      </c>
      <c r="CP48" s="39">
        <f t="shared" si="112"/>
        <v>0.40647187995004236</v>
      </c>
      <c r="CQ48" s="39">
        <f t="shared" si="112"/>
        <v>0.40647187995004236</v>
      </c>
      <c r="CR48" s="39">
        <f t="shared" si="112"/>
        <v>0.40647187995004236</v>
      </c>
      <c r="CS48" s="39">
        <f t="shared" si="112"/>
        <v>0.40647187995004236</v>
      </c>
      <c r="CT48" s="39">
        <f t="shared" si="112"/>
        <v>0.40647187995004236</v>
      </c>
      <c r="CU48" s="39">
        <f t="shared" si="112"/>
        <v>0.40647187995004236</v>
      </c>
      <c r="CV48" s="39">
        <f t="shared" si="112"/>
        <v>0.40647187995004236</v>
      </c>
      <c r="CW48" s="39">
        <f t="shared" si="112"/>
        <v>0.40647187995004236</v>
      </c>
      <c r="CX48" s="39">
        <f t="shared" si="112"/>
        <v>0.40647187995004236</v>
      </c>
      <c r="CY48" s="37">
        <f t="shared" si="112"/>
        <v>0.40647187995004236</v>
      </c>
      <c r="CZ48" s="29">
        <f t="shared" si="71"/>
        <v>100</v>
      </c>
      <c r="DB48" s="34"/>
      <c r="DC48" s="41">
        <v>7.0000000000000007E-2</v>
      </c>
      <c r="DD48" s="37">
        <f t="shared" si="72"/>
        <v>300</v>
      </c>
      <c r="DE48" s="39">
        <f t="shared" si="73"/>
        <v>193.51334553430078</v>
      </c>
      <c r="DF48" s="39">
        <f t="shared" si="74"/>
        <v>175.9389193760141</v>
      </c>
      <c r="DG48" s="39">
        <f t="shared" si="75"/>
        <v>170.12805391659452</v>
      </c>
      <c r="DH48" s="39">
        <f t="shared" si="76"/>
        <v>166.15364751184364</v>
      </c>
      <c r="DI48" s="39">
        <f t="shared" si="77"/>
        <v>162.46349349305902</v>
      </c>
      <c r="DJ48" s="39">
        <f t="shared" si="78"/>
        <v>158.80513796691042</v>
      </c>
      <c r="DK48" s="39">
        <f t="shared" si="79"/>
        <v>155.13502297324888</v>
      </c>
      <c r="DL48" s="39">
        <f t="shared" si="80"/>
        <v>151.44349953725262</v>
      </c>
      <c r="DM48" s="39">
        <f t="shared" si="81"/>
        <v>147.72660975056587</v>
      </c>
      <c r="DN48" s="39">
        <f t="shared" si="82"/>
        <v>143.98155580054166</v>
      </c>
      <c r="DO48" s="39">
        <f t="shared" si="83"/>
        <v>140.20599215661687</v>
      </c>
      <c r="DP48" s="39">
        <f t="shared" si="84"/>
        <v>136.39793204075454</v>
      </c>
      <c r="DQ48" s="39">
        <f t="shared" si="85"/>
        <v>132.55574982130813</v>
      </c>
      <c r="DR48" s="39">
        <f t="shared" si="86"/>
        <v>128.67819549843063</v>
      </c>
      <c r="DS48" s="39">
        <f t="shared" si="87"/>
        <v>124.76440761747972</v>
      </c>
      <c r="DT48" s="39">
        <f t="shared" si="88"/>
        <v>120.81392230379302</v>
      </c>
      <c r="DU48" s="39">
        <f t="shared" si="89"/>
        <v>116.82667798346216</v>
      </c>
      <c r="DV48" s="39">
        <f t="shared" si="90"/>
        <v>112.80301569726439</v>
      </c>
      <c r="DW48" s="39">
        <f t="shared" si="91"/>
        <v>108.74367501092999</v>
      </c>
      <c r="DX48" s="39">
        <f t="shared" si="92"/>
        <v>104.64978558049863</v>
      </c>
      <c r="DY48" s="39">
        <f t="shared" si="93"/>
        <v>100.52285447939626</v>
      </c>
      <c r="DZ48" s="39">
        <f t="shared" si="94"/>
        <v>96.364749438920981</v>
      </c>
      <c r="EA48" s="39">
        <f t="shared" si="95"/>
        <v>92.17767819649859</v>
      </c>
      <c r="EB48" s="39">
        <f t="shared" si="96"/>
        <v>87.964164186125913</v>
      </c>
      <c r="EC48" s="39">
        <f t="shared" si="97"/>
        <v>83.72701884255487</v>
      </c>
      <c r="ED48" s="39">
        <f t="shared" si="98"/>
        <v>79.469310824709666</v>
      </c>
      <c r="EE48" s="39">
        <f t="shared" si="99"/>
        <v>75.194332494339378</v>
      </c>
      <c r="EF48" s="39">
        <f t="shared" si="100"/>
        <v>70.905564012793718</v>
      </c>
      <c r="EG48" s="39">
        <f t="shared" si="101"/>
        <v>66.606635441913483</v>
      </c>
      <c r="EH48" s="37">
        <f t="shared" si="102"/>
        <v>62.301287254225372</v>
      </c>
    </row>
    <row r="49" spans="5:138" x14ac:dyDescent="0.25">
      <c r="E49" s="32"/>
      <c r="F49" s="41">
        <v>6.6666666666666666E-2</v>
      </c>
      <c r="G49" s="33">
        <f t="shared" si="10"/>
        <v>300</v>
      </c>
      <c r="H49" s="35">
        <f t="shared" si="11"/>
        <v>293.92049283200492</v>
      </c>
      <c r="I49" s="35">
        <f t="shared" si="12"/>
        <v>287.83453942612198</v>
      </c>
      <c r="J49" s="35">
        <f t="shared" si="13"/>
        <v>281.73576474882759</v>
      </c>
      <c r="K49" s="35">
        <f t="shared" si="14"/>
        <v>275.61793536980434</v>
      </c>
      <c r="L49" s="35">
        <f t="shared" si="15"/>
        <v>269.47502825968604</v>
      </c>
      <c r="M49" s="35">
        <f t="shared" si="16"/>
        <v>263.30129721086803</v>
      </c>
      <c r="N49" s="35">
        <f t="shared" si="17"/>
        <v>257.09133613475547</v>
      </c>
      <c r="O49" s="35">
        <f t="shared" si="18"/>
        <v>250.84013852704635</v>
      </c>
      <c r="P49" s="35">
        <f t="shared" si="19"/>
        <v>244.54315243928187</v>
      </c>
      <c r="Q49" s="35">
        <f t="shared" si="20"/>
        <v>238.19633034923356</v>
      </c>
      <c r="R49" s="35">
        <f t="shared" si="21"/>
        <v>231.79617338390415</v>
      </c>
      <c r="S49" s="35">
        <f t="shared" si="22"/>
        <v>225.33976941609666</v>
      </c>
      <c r="T49" s="35">
        <f t="shared" si="23"/>
        <v>218.82482462768087</v>
      </c>
      <c r="U49" s="35">
        <f t="shared" si="24"/>
        <v>212.24968820884669</v>
      </c>
      <c r="V49" s="35">
        <f t="shared" si="25"/>
        <v>205.61336994174474</v>
      </c>
      <c r="W49" s="35">
        <f t="shared" si="26"/>
        <v>198.91555049793911</v>
      </c>
      <c r="X49" s="35">
        <f t="shared" si="27"/>
        <v>192.15658436101785</v>
      </c>
      <c r="Y49" s="35">
        <f t="shared" si="28"/>
        <v>185.33749536753484</v>
      </c>
      <c r="Z49" s="35">
        <f t="shared" si="29"/>
        <v>178.45996494025979</v>
      </c>
      <c r="AA49" s="35">
        <f t="shared" si="30"/>
        <v>171.52631316660472</v>
      </c>
      <c r="AB49" s="35">
        <f t="shared" si="31"/>
        <v>164.53947295127719</v>
      </c>
      <c r="AC49" s="35">
        <f t="shared" si="32"/>
        <v>157.50295754493663</v>
      </c>
      <c r="AD49" s="35">
        <f t="shared" si="33"/>
        <v>150.42082181925136</v>
      </c>
      <c r="AE49" s="35">
        <f t="shared" si="34"/>
        <v>143.29761772269075</v>
      </c>
      <c r="AF49" s="35">
        <f t="shared" si="35"/>
        <v>136.13834441013631</v>
      </c>
      <c r="AG49" s="35">
        <f t="shared" si="36"/>
        <v>128.94839359253476</v>
      </c>
      <c r="AH49" s="35">
        <f t="shared" si="37"/>
        <v>121.73349069998662</v>
      </c>
      <c r="AI49" s="35">
        <f t="shared" si="38"/>
        <v>114.49963249257411</v>
      </c>
      <c r="AJ49" s="35">
        <f t="shared" si="103"/>
        <v>107.2530217876446</v>
      </c>
      <c r="AK49" s="33">
        <f t="shared" si="39"/>
        <v>100</v>
      </c>
      <c r="AL49" s="34"/>
      <c r="AM49" s="30">
        <v>6.6666666666666666E-2</v>
      </c>
      <c r="AN49" s="37">
        <f t="shared" si="40"/>
        <v>-1076400000</v>
      </c>
      <c r="AO49" s="38">
        <f t="shared" si="104"/>
        <v>-1054613415.7060895</v>
      </c>
      <c r="AP49" s="38">
        <f t="shared" si="41"/>
        <v>-1032803407.5245693</v>
      </c>
      <c r="AQ49" s="38">
        <f t="shared" si="42"/>
        <v>-1010946810.3839511</v>
      </c>
      <c r="AR49" s="38">
        <f t="shared" si="43"/>
        <v>-989020973.91359174</v>
      </c>
      <c r="AS49" s="38">
        <f t="shared" si="44"/>
        <v>-967004012.50197053</v>
      </c>
      <c r="AT49" s="38">
        <f t="shared" si="45"/>
        <v>-944875046.70559359</v>
      </c>
      <c r="AU49" s="38">
        <f t="shared" si="46"/>
        <v>-922614433.29231226</v>
      </c>
      <c r="AV49" s="38">
        <f t="shared" si="47"/>
        <v>-900203981.34247148</v>
      </c>
      <c r="AW49" s="38">
        <f t="shared" si="48"/>
        <v>-877627152.0015986</v>
      </c>
      <c r="AX49" s="38">
        <f t="shared" si="49"/>
        <v>-854869239.67671359</v>
      </c>
      <c r="AY49" s="38">
        <f t="shared" si="50"/>
        <v>-831917532.69170737</v>
      </c>
      <c r="AZ49" s="38">
        <f t="shared" si="51"/>
        <v>-808761451.66227329</v>
      </c>
      <c r="BA49" s="38">
        <f t="shared" si="52"/>
        <v>-785392664.1140511</v>
      </c>
      <c r="BB49" s="38">
        <f t="shared" si="53"/>
        <v>-761805174.14517081</v>
      </c>
      <c r="BC49" s="38">
        <f t="shared" si="54"/>
        <v>-737995386.22253323</v>
      </c>
      <c r="BD49" s="38">
        <f t="shared" si="55"/>
        <v>-713962142.49610448</v>
      </c>
      <c r="BE49" s="38">
        <f t="shared" si="56"/>
        <v>-689706733.31349754</v>
      </c>
      <c r="BF49" s="38">
        <f t="shared" si="57"/>
        <v>-665232880.91461432</v>
      </c>
      <c r="BG49" s="38">
        <f t="shared" si="58"/>
        <v>-640546696.57966542</v>
      </c>
      <c r="BH49" s="38">
        <f t="shared" si="59"/>
        <v>-615656611.79030156</v>
      </c>
      <c r="BI49" s="38">
        <f t="shared" si="60"/>
        <v>-590573284.23997664</v>
      </c>
      <c r="BJ49" s="38">
        <f t="shared" si="61"/>
        <v>-565309479.79331994</v>
      </c>
      <c r="BK49" s="38">
        <f t="shared" si="62"/>
        <v>-539879931.74289787</v>
      </c>
      <c r="BL49" s="38">
        <f t="shared" si="63"/>
        <v>-514301178.94322908</v>
      </c>
      <c r="BM49" s="38">
        <f t="shared" si="64"/>
        <v>-488591384.61446446</v>
      </c>
      <c r="BN49" s="38">
        <f t="shared" si="65"/>
        <v>-462770137.80029368</v>
      </c>
      <c r="BO49" s="38">
        <f t="shared" si="66"/>
        <v>-436858239.63509071</v>
      </c>
      <c r="BP49" s="38">
        <f t="shared" si="67"/>
        <v>-410877476.72307652</v>
      </c>
      <c r="BQ49" s="38">
        <f t="shared" si="68"/>
        <v>-384850384.05650944</v>
      </c>
      <c r="BR49" s="37">
        <f t="shared" si="69"/>
        <v>-358800000</v>
      </c>
      <c r="BT49" s="34"/>
      <c r="BU49" s="41">
        <v>6.6666666666666666E-2</v>
      </c>
      <c r="BV49" s="37">
        <v>0</v>
      </c>
      <c r="BW49" s="39">
        <f t="shared" ref="BW49:CY49" si="113">$B$20/($B$21-$B$22*BV49)</f>
        <v>0.34883720930232553</v>
      </c>
      <c r="BX49" s="39">
        <f t="shared" si="113"/>
        <v>0.39716748768472904</v>
      </c>
      <c r="BY49" s="39">
        <f t="shared" si="113"/>
        <v>0.40494040593779607</v>
      </c>
      <c r="BZ49" s="39">
        <f t="shared" si="113"/>
        <v>0.4062190081621499</v>
      </c>
      <c r="CA49" s="39">
        <f t="shared" si="113"/>
        <v>0.40643010492156101</v>
      </c>
      <c r="CB49" s="39">
        <f t="shared" si="113"/>
        <v>0.40646497802255066</v>
      </c>
      <c r="CC49" s="39">
        <f t="shared" si="113"/>
        <v>0.40647073962099717</v>
      </c>
      <c r="CD49" s="39">
        <f t="shared" si="113"/>
        <v>0.40647169154566137</v>
      </c>
      <c r="CE49" s="39">
        <f t="shared" si="113"/>
        <v>0.40647184882198806</v>
      </c>
      <c r="CF49" s="39">
        <f t="shared" si="113"/>
        <v>0.40647187480708435</v>
      </c>
      <c r="CG49" s="39">
        <f t="shared" si="113"/>
        <v>0.40647187910032606</v>
      </c>
      <c r="CH49" s="39">
        <f t="shared" si="113"/>
        <v>0.40647187980965277</v>
      </c>
      <c r="CI49" s="39">
        <f t="shared" si="113"/>
        <v>0.4064718799268473</v>
      </c>
      <c r="CJ49" s="39">
        <f t="shared" si="113"/>
        <v>0.40647187994621015</v>
      </c>
      <c r="CK49" s="39">
        <f t="shared" si="113"/>
        <v>0.40647187994940925</v>
      </c>
      <c r="CL49" s="39">
        <f t="shared" si="113"/>
        <v>0.40647187994993778</v>
      </c>
      <c r="CM49" s="39">
        <f t="shared" si="113"/>
        <v>0.40647187995002515</v>
      </c>
      <c r="CN49" s="39">
        <f t="shared" si="113"/>
        <v>0.40647187995003953</v>
      </c>
      <c r="CO49" s="39">
        <f t="shared" si="113"/>
        <v>0.40647187995004191</v>
      </c>
      <c r="CP49" s="39">
        <f t="shared" si="113"/>
        <v>0.40647187995004236</v>
      </c>
      <c r="CQ49" s="39">
        <f t="shared" si="113"/>
        <v>0.40647187995004236</v>
      </c>
      <c r="CR49" s="39">
        <f t="shared" si="113"/>
        <v>0.40647187995004236</v>
      </c>
      <c r="CS49" s="39">
        <f t="shared" si="113"/>
        <v>0.40647187995004236</v>
      </c>
      <c r="CT49" s="39">
        <f t="shared" si="113"/>
        <v>0.40647187995004236</v>
      </c>
      <c r="CU49" s="39">
        <f t="shared" si="113"/>
        <v>0.40647187995004236</v>
      </c>
      <c r="CV49" s="39">
        <f t="shared" si="113"/>
        <v>0.40647187995004236</v>
      </c>
      <c r="CW49" s="39">
        <f t="shared" si="113"/>
        <v>0.40647187995004236</v>
      </c>
      <c r="CX49" s="39">
        <f t="shared" si="113"/>
        <v>0.40647187995004236</v>
      </c>
      <c r="CY49" s="37">
        <f t="shared" si="113"/>
        <v>0.40647187995004236</v>
      </c>
      <c r="CZ49" s="29">
        <f t="shared" si="71"/>
        <v>100</v>
      </c>
      <c r="DB49" s="34"/>
      <c r="DC49" s="41">
        <v>6.6666666666666666E-2</v>
      </c>
      <c r="DD49" s="37">
        <f t="shared" si="72"/>
        <v>300</v>
      </c>
      <c r="DE49" s="39">
        <f t="shared" si="73"/>
        <v>193.51309535777631</v>
      </c>
      <c r="DF49" s="39">
        <f t="shared" si="74"/>
        <v>175.93825354989428</v>
      </c>
      <c r="DG49" s="39">
        <f t="shared" si="75"/>
        <v>170.12692611644181</v>
      </c>
      <c r="DH49" s="39">
        <f t="shared" si="76"/>
        <v>166.15205666568738</v>
      </c>
      <c r="DI49" s="39">
        <f t="shared" si="77"/>
        <v>162.46145440828985</v>
      </c>
      <c r="DJ49" s="39">
        <f t="shared" si="78"/>
        <v>158.80267291906648</v>
      </c>
      <c r="DK49" s="39">
        <f t="shared" si="79"/>
        <v>155.13215950103358</v>
      </c>
      <c r="DL49" s="39">
        <f t="shared" si="80"/>
        <v>151.4402696991429</v>
      </c>
      <c r="DM49" s="39">
        <f t="shared" si="81"/>
        <v>147.7230496596159</v>
      </c>
      <c r="DN49" s="39">
        <f t="shared" si="82"/>
        <v>143.97770518077004</v>
      </c>
      <c r="DO49" s="39">
        <f t="shared" si="83"/>
        <v>140.20189387330916</v>
      </c>
      <c r="DP49" s="39">
        <f t="shared" si="84"/>
        <v>136.39363160066563</v>
      </c>
      <c r="DQ49" s="39">
        <f t="shared" si="85"/>
        <v>132.55129484754374</v>
      </c>
      <c r="DR49" s="39">
        <f t="shared" si="86"/>
        <v>128.67363518655014</v>
      </c>
      <c r="DS49" s="39">
        <f t="shared" si="87"/>
        <v>124.75979217967577</v>
      </c>
      <c r="DT49" s="39">
        <f t="shared" si="88"/>
        <v>120.80930240795738</v>
      </c>
      <c r="DU49" s="39">
        <f t="shared" si="89"/>
        <v>116.82210419374687</v>
      </c>
      <c r="DV49" s="39">
        <f t="shared" si="90"/>
        <v>112.7985379224493</v>
      </c>
      <c r="DW49" s="39">
        <f t="shared" si="91"/>
        <v>108.73934196653033</v>
      </c>
      <c r="DX49" s="39">
        <f t="shared" si="92"/>
        <v>104.64564427010993</v>
      </c>
      <c r="DY49" s="39">
        <f t="shared" si="93"/>
        <v>100.51894970029508</v>
      </c>
      <c r="DZ49" s="39">
        <f t="shared" si="94"/>
        <v>96.361123316435183</v>
      </c>
      <c r="EA49" s="39">
        <f t="shared" si="95"/>
        <v>92.174369751146742</v>
      </c>
      <c r="EB49" s="39">
        <f t="shared" si="96"/>
        <v>87.961208937016309</v>
      </c>
      <c r="EC49" s="39">
        <f t="shared" si="97"/>
        <v>83.724448450040725</v>
      </c>
      <c r="ED49" s="39">
        <f t="shared" si="98"/>
        <v>79.467152774830197</v>
      </c>
      <c r="EE49" s="39">
        <f t="shared" si="99"/>
        <v>75.192609827141069</v>
      </c>
      <c r="EF49" s="39">
        <f t="shared" si="100"/>
        <v>70.904295096227358</v>
      </c>
      <c r="EG49" s="39">
        <f t="shared" si="101"/>
        <v>66.605833792640368</v>
      </c>
      <c r="EH49" s="37">
        <f t="shared" si="102"/>
        <v>62.300961406338267</v>
      </c>
    </row>
    <row r="50" spans="5:138" x14ac:dyDescent="0.25">
      <c r="E50" s="32"/>
      <c r="F50" s="41">
        <v>6.3333333333333339E-2</v>
      </c>
      <c r="G50" s="33">
        <f t="shared" si="10"/>
        <v>300</v>
      </c>
      <c r="H50" s="35">
        <f t="shared" si="11"/>
        <v>293.91962132970173</v>
      </c>
      <c r="I50" s="35">
        <f t="shared" si="12"/>
        <v>287.83280623650535</v>
      </c>
      <c r="J50" s="35">
        <f t="shared" si="13"/>
        <v>281.7331893826522</v>
      </c>
      <c r="K50" s="35">
        <f t="shared" si="14"/>
        <v>275.61454679696169</v>
      </c>
      <c r="L50" s="35">
        <f t="shared" si="15"/>
        <v>269.4708645587707</v>
      </c>
      <c r="M50" s="35">
        <f t="shared" si="16"/>
        <v>263.29640511023138</v>
      </c>
      <c r="N50" s="35">
        <f t="shared" si="17"/>
        <v>257.08577045191066</v>
      </c>
      <c r="O50" s="35">
        <f t="shared" si="18"/>
        <v>250.83396151470345</v>
      </c>
      <c r="P50" s="35">
        <f t="shared" si="19"/>
        <v>244.53643304752188</v>
      </c>
      <c r="Q50" s="35">
        <f t="shared" si="20"/>
        <v>238.18914341435186</v>
      </c>
      <c r="R50" s="35">
        <f t="shared" si="21"/>
        <v>231.78859875525319</v>
      </c>
      <c r="S50" s="35">
        <f t="shared" si="22"/>
        <v>225.33189103282376</v>
      </c>
      <c r="T50" s="35">
        <f t="shared" si="23"/>
        <v>218.81672955759353</v>
      </c>
      <c r="U50" s="35">
        <f t="shared" si="24"/>
        <v>212.24146566174466</v>
      </c>
      <c r="V50" s="35">
        <f t="shared" si="25"/>
        <v>205.6051102694525</v>
      </c>
      <c r="W50" s="35">
        <f t="shared" si="26"/>
        <v>198.9073441929724</v>
      </c>
      <c r="X50" s="35">
        <f t="shared" si="27"/>
        <v>192.14852106534215</v>
      </c>
      <c r="Y50" s="35">
        <f t="shared" si="28"/>
        <v>185.32966290225602</v>
      </c>
      <c r="Z50" s="35">
        <f t="shared" si="29"/>
        <v>178.45244836634913</v>
      </c>
      <c r="AA50" s="35">
        <f t="shared" si="30"/>
        <v>171.51919388593942</v>
      </c>
      <c r="AB50" s="35">
        <f t="shared" si="31"/>
        <v>164.53282785639618</v>
      </c>
      <c r="AC50" s="35">
        <f t="shared" si="32"/>
        <v>157.49685822500561</v>
      </c>
      <c r="AD50" s="35">
        <f t="shared" si="33"/>
        <v>150.41533382882022</v>
      </c>
      <c r="AE50" s="35">
        <f t="shared" si="34"/>
        <v>143.29279991893816</v>
      </c>
      <c r="AF50" s="35">
        <f t="shared" si="35"/>
        <v>136.1342483634447</v>
      </c>
      <c r="AG50" s="35">
        <f t="shared" si="36"/>
        <v>128.94506307444081</v>
      </c>
      <c r="AH50" s="35">
        <f t="shared" si="37"/>
        <v>121.73096125181328</v>
      </c>
      <c r="AI50" s="35">
        <f t="shared" si="38"/>
        <v>114.4979310773753</v>
      </c>
      <c r="AJ50" s="35">
        <f t="shared" si="103"/>
        <v>107.25216652748017</v>
      </c>
      <c r="AK50" s="33">
        <f t="shared" si="39"/>
        <v>100</v>
      </c>
      <c r="AL50" s="34"/>
      <c r="AM50" s="30">
        <v>6.3333333333333339E-2</v>
      </c>
      <c r="AN50" s="37">
        <f t="shared" si="40"/>
        <v>-1076400000</v>
      </c>
      <c r="AO50" s="38">
        <f t="shared" si="104"/>
        <v>-1054610248.1217685</v>
      </c>
      <c r="AP50" s="38">
        <f t="shared" si="41"/>
        <v>-1032797108.0656996</v>
      </c>
      <c r="AQ50" s="38">
        <f t="shared" si="42"/>
        <v>-1010937450.0347629</v>
      </c>
      <c r="AR50" s="38">
        <f t="shared" si="43"/>
        <v>-989008658.06885064</v>
      </c>
      <c r="AS50" s="38">
        <f t="shared" si="44"/>
        <v>-966988879.68771183</v>
      </c>
      <c r="AT50" s="38">
        <f t="shared" si="45"/>
        <v>-944857266.90400493</v>
      </c>
      <c r="AU50" s="38">
        <f t="shared" si="46"/>
        <v>-922594205.89604533</v>
      </c>
      <c r="AV50" s="38">
        <f t="shared" si="47"/>
        <v>-900181532.76884973</v>
      </c>
      <c r="AW50" s="38">
        <f t="shared" si="48"/>
        <v>-877602733.0017004</v>
      </c>
      <c r="AX50" s="38">
        <f t="shared" si="49"/>
        <v>-854843122.37803936</v>
      </c>
      <c r="AY50" s="38">
        <f t="shared" si="50"/>
        <v>-831890007.41603768</v>
      </c>
      <c r="AZ50" s="38">
        <f t="shared" si="51"/>
        <v>-808732823.56236708</v>
      </c>
      <c r="BA50" s="38">
        <f t="shared" si="52"/>
        <v>-785363249.6740073</v>
      </c>
      <c r="BB50" s="38">
        <f t="shared" si="53"/>
        <v>-761775297.58961499</v>
      </c>
      <c r="BC50" s="38">
        <f t="shared" si="54"/>
        <v>-737965375.87933385</v>
      </c>
      <c r="BD50" s="38">
        <f t="shared" si="55"/>
        <v>-713932327.15614665</v>
      </c>
      <c r="BE50" s="38">
        <f t="shared" si="56"/>
        <v>-689677438.62923503</v>
      </c>
      <c r="BF50" s="38">
        <f t="shared" si="57"/>
        <v>-665204425.8767724</v>
      </c>
      <c r="BG50" s="38">
        <f t="shared" si="58"/>
        <v>-640519390.10870254</v>
      </c>
      <c r="BH50" s="38">
        <f t="shared" si="59"/>
        <v>-615630749.47616327</v>
      </c>
      <c r="BI50" s="38">
        <f t="shared" si="60"/>
        <v>-590549145.26039779</v>
      </c>
      <c r="BJ50" s="38">
        <f t="shared" si="61"/>
        <v>-565287324.03757071</v>
      </c>
      <c r="BK50" s="38">
        <f t="shared" si="62"/>
        <v>-539859997.16451132</v>
      </c>
      <c r="BL50" s="38">
        <f t="shared" si="63"/>
        <v>-514283679.16198134</v>
      </c>
      <c r="BM50" s="38">
        <f t="shared" si="64"/>
        <v>-488576506.78477311</v>
      </c>
      <c r="BN50" s="38">
        <f t="shared" si="65"/>
        <v>-462758040.76029557</v>
      </c>
      <c r="BO50" s="38">
        <f t="shared" si="66"/>
        <v>-436849052.34800136</v>
      </c>
      <c r="BP50" s="38">
        <f t="shared" si="67"/>
        <v>-410871297.02001524</v>
      </c>
      <c r="BQ50" s="38">
        <f t="shared" si="68"/>
        <v>-384847277.687801</v>
      </c>
      <c r="BR50" s="37">
        <f t="shared" si="69"/>
        <v>-358800000</v>
      </c>
      <c r="BT50" s="34"/>
      <c r="BU50" s="41">
        <v>6.3333333333333339E-2</v>
      </c>
      <c r="BV50" s="37">
        <v>0</v>
      </c>
      <c r="BW50" s="39">
        <f t="shared" ref="BW50:CY50" si="114">$B$20/($B$21-$B$22*BV50)</f>
        <v>0.34883720930232553</v>
      </c>
      <c r="BX50" s="39">
        <f t="shared" si="114"/>
        <v>0.39716748768472904</v>
      </c>
      <c r="BY50" s="39">
        <f t="shared" si="114"/>
        <v>0.40494040593779607</v>
      </c>
      <c r="BZ50" s="39">
        <f t="shared" si="114"/>
        <v>0.4062190081621499</v>
      </c>
      <c r="CA50" s="39">
        <f t="shared" si="114"/>
        <v>0.40643010492156101</v>
      </c>
      <c r="CB50" s="39">
        <f t="shared" si="114"/>
        <v>0.40646497802255066</v>
      </c>
      <c r="CC50" s="39">
        <f t="shared" si="114"/>
        <v>0.40647073962099717</v>
      </c>
      <c r="CD50" s="39">
        <f t="shared" si="114"/>
        <v>0.40647169154566137</v>
      </c>
      <c r="CE50" s="39">
        <f t="shared" si="114"/>
        <v>0.40647184882198806</v>
      </c>
      <c r="CF50" s="39">
        <f t="shared" si="114"/>
        <v>0.40647187480708435</v>
      </c>
      <c r="CG50" s="39">
        <f t="shared" si="114"/>
        <v>0.40647187910032606</v>
      </c>
      <c r="CH50" s="39">
        <f t="shared" si="114"/>
        <v>0.40647187980965277</v>
      </c>
      <c r="CI50" s="39">
        <f t="shared" si="114"/>
        <v>0.4064718799268473</v>
      </c>
      <c r="CJ50" s="39">
        <f t="shared" si="114"/>
        <v>0.40647187994621015</v>
      </c>
      <c r="CK50" s="39">
        <f t="shared" si="114"/>
        <v>0.40647187994940925</v>
      </c>
      <c r="CL50" s="39">
        <f t="shared" si="114"/>
        <v>0.40647187994993778</v>
      </c>
      <c r="CM50" s="39">
        <f t="shared" si="114"/>
        <v>0.40647187995002515</v>
      </c>
      <c r="CN50" s="39">
        <f t="shared" si="114"/>
        <v>0.40647187995003953</v>
      </c>
      <c r="CO50" s="39">
        <f t="shared" si="114"/>
        <v>0.40647187995004191</v>
      </c>
      <c r="CP50" s="39">
        <f t="shared" si="114"/>
        <v>0.40647187995004236</v>
      </c>
      <c r="CQ50" s="39">
        <f t="shared" si="114"/>
        <v>0.40647187995004236</v>
      </c>
      <c r="CR50" s="39">
        <f t="shared" si="114"/>
        <v>0.40647187995004236</v>
      </c>
      <c r="CS50" s="39">
        <f t="shared" si="114"/>
        <v>0.40647187995004236</v>
      </c>
      <c r="CT50" s="39">
        <f t="shared" si="114"/>
        <v>0.40647187995004236</v>
      </c>
      <c r="CU50" s="39">
        <f t="shared" si="114"/>
        <v>0.40647187995004236</v>
      </c>
      <c r="CV50" s="39">
        <f t="shared" si="114"/>
        <v>0.40647187995004236</v>
      </c>
      <c r="CW50" s="39">
        <f t="shared" si="114"/>
        <v>0.40647187995004236</v>
      </c>
      <c r="CX50" s="39">
        <f t="shared" si="114"/>
        <v>0.40647187995004236</v>
      </c>
      <c r="CY50" s="37">
        <f t="shared" si="114"/>
        <v>0.40647187995004236</v>
      </c>
      <c r="CZ50" s="29">
        <f t="shared" si="71"/>
        <v>100</v>
      </c>
      <c r="DB50" s="34"/>
      <c r="DC50" s="41">
        <v>6.3333333333333339E-2</v>
      </c>
      <c r="DD50" s="37">
        <f t="shared" si="72"/>
        <v>300</v>
      </c>
      <c r="DE50" s="39">
        <f t="shared" si="73"/>
        <v>193.51282845650223</v>
      </c>
      <c r="DF50" s="39">
        <f t="shared" si="74"/>
        <v>175.93754321199137</v>
      </c>
      <c r="DG50" s="39">
        <f t="shared" si="75"/>
        <v>170.12572292032885</v>
      </c>
      <c r="DH50" s="39">
        <f t="shared" si="76"/>
        <v>166.15035946730083</v>
      </c>
      <c r="DI50" s="39">
        <f t="shared" si="77"/>
        <v>162.45927900434955</v>
      </c>
      <c r="DJ50" s="39">
        <f t="shared" si="78"/>
        <v>158.80004307358499</v>
      </c>
      <c r="DK50" s="39">
        <f t="shared" si="79"/>
        <v>155.12910459296441</v>
      </c>
      <c r="DL50" s="39">
        <f t="shared" si="80"/>
        <v>151.43682392933485</v>
      </c>
      <c r="DM50" s="39">
        <f t="shared" si="81"/>
        <v>147.71925155456461</v>
      </c>
      <c r="DN50" s="39">
        <f t="shared" si="82"/>
        <v>143.97359711939708</v>
      </c>
      <c r="DO50" s="39">
        <f t="shared" si="83"/>
        <v>140.1975215859114</v>
      </c>
      <c r="DP50" s="39">
        <f t="shared" si="84"/>
        <v>136.38904363574829</v>
      </c>
      <c r="DQ50" s="39">
        <f t="shared" si="85"/>
        <v>132.54654201163478</v>
      </c>
      <c r="DR50" s="39">
        <f t="shared" si="86"/>
        <v>128.66876996397247</v>
      </c>
      <c r="DS50" s="39">
        <f t="shared" si="87"/>
        <v>124.75486813959081</v>
      </c>
      <c r="DT50" s="39">
        <f t="shared" si="88"/>
        <v>120.80437360594257</v>
      </c>
      <c r="DU50" s="39">
        <f t="shared" si="89"/>
        <v>116.81722457495772</v>
      </c>
      <c r="DV50" s="39">
        <f t="shared" si="90"/>
        <v>112.79376073309872</v>
      </c>
      <c r="DW50" s="39">
        <f t="shared" si="91"/>
        <v>108.73471918001562</v>
      </c>
      <c r="DX50" s="39">
        <f t="shared" si="92"/>
        <v>104.64122603365337</v>
      </c>
      <c r="DY50" s="39">
        <f t="shared" si="93"/>
        <v>100.51478380745287</v>
      </c>
      <c r="DZ50" s="39">
        <f t="shared" si="94"/>
        <v>96.357254710291855</v>
      </c>
      <c r="EA50" s="39">
        <f t="shared" si="95"/>
        <v>92.170840062464151</v>
      </c>
      <c r="EB50" s="39">
        <f t="shared" si="96"/>
        <v>87.958056061062805</v>
      </c>
      <c r="EC50" s="39">
        <f t="shared" si="97"/>
        <v>83.721706165299963</v>
      </c>
      <c r="ED50" s="39">
        <f t="shared" si="98"/>
        <v>79.464850406290495</v>
      </c>
      <c r="EE50" s="39">
        <f t="shared" si="99"/>
        <v>75.190771956402159</v>
      </c>
      <c r="EF50" s="39">
        <f t="shared" si="100"/>
        <v>70.902941320235428</v>
      </c>
      <c r="EG50" s="39">
        <f t="shared" si="101"/>
        <v>66.604978532475926</v>
      </c>
      <c r="EH50" s="37">
        <f t="shared" si="102"/>
        <v>62.300613767131381</v>
      </c>
    </row>
    <row r="51" spans="5:138" x14ac:dyDescent="0.25">
      <c r="E51" s="32"/>
      <c r="F51" s="41">
        <v>6.0000000000000005E-2</v>
      </c>
      <c r="G51" s="33">
        <f t="shared" si="10"/>
        <v>300</v>
      </c>
      <c r="H51" s="35">
        <f t="shared" si="11"/>
        <v>293.91870551946192</v>
      </c>
      <c r="I51" s="35">
        <f t="shared" si="12"/>
        <v>287.83098492967281</v>
      </c>
      <c r="J51" s="35">
        <f t="shared" si="13"/>
        <v>281.73048308125431</v>
      </c>
      <c r="K51" s="35">
        <f t="shared" si="14"/>
        <v>275.610985942784</v>
      </c>
      <c r="L51" s="35">
        <f t="shared" si="15"/>
        <v>269.4664891651604</v>
      </c>
      <c r="M51" s="35">
        <f t="shared" si="16"/>
        <v>263.29126427988484</v>
      </c>
      <c r="N51" s="35">
        <f t="shared" si="17"/>
        <v>257.07992178785537</v>
      </c>
      <c r="O51" s="35">
        <f t="shared" si="18"/>
        <v>250.82747043317005</v>
      </c>
      <c r="P51" s="35">
        <f t="shared" si="19"/>
        <v>244.52937200269469</v>
      </c>
      <c r="Q51" s="35">
        <f t="shared" si="20"/>
        <v>238.18159104605968</v>
      </c>
      <c r="R51" s="35">
        <f t="shared" si="21"/>
        <v>231.78063897150167</v>
      </c>
      <c r="S51" s="35">
        <f t="shared" si="22"/>
        <v>225.32361203966735</v>
      </c>
      <c r="T51" s="35">
        <f t="shared" si="23"/>
        <v>218.80822284919623</v>
      </c>
      <c r="U51" s="35">
        <f t="shared" si="24"/>
        <v>212.23282498359367</v>
      </c>
      <c r="V51" s="35">
        <f t="shared" si="25"/>
        <v>205.5964305675792</v>
      </c>
      <c r="W51" s="35">
        <f t="shared" si="26"/>
        <v>198.89872056171728</v>
      </c>
      <c r="X51" s="35">
        <f t="shared" si="27"/>
        <v>192.14004770570563</v>
      </c>
      <c r="Y51" s="35">
        <f t="shared" si="28"/>
        <v>185.32143210222495</v>
      </c>
      <c r="Z51" s="35">
        <f t="shared" si="29"/>
        <v>178.44454951381718</v>
      </c>
      <c r="AA51" s="35">
        <f t="shared" si="30"/>
        <v>171.51171252397489</v>
      </c>
      <c r="AB51" s="35">
        <f t="shared" si="31"/>
        <v>164.52584478968805</v>
      </c>
      <c r="AC51" s="35">
        <f t="shared" si="32"/>
        <v>157.49044868536501</v>
      </c>
      <c r="AD51" s="35">
        <f t="shared" si="33"/>
        <v>150.40956670665958</v>
      </c>
      <c r="AE51" s="35">
        <f t="shared" si="34"/>
        <v>143.28773706671589</v>
      </c>
      <c r="AF51" s="35">
        <f t="shared" si="35"/>
        <v>136.12994397616976</v>
      </c>
      <c r="AG51" s="35">
        <f t="shared" si="36"/>
        <v>128.94156315149149</v>
      </c>
      <c r="AH51" s="35">
        <f t="shared" si="37"/>
        <v>121.72830314354917</v>
      </c>
      <c r="AI51" s="35">
        <f t="shared" si="38"/>
        <v>114.4961431193102</v>
      </c>
      <c r="AJ51" s="35">
        <f t="shared" si="103"/>
        <v>107.25126776413978</v>
      </c>
      <c r="AK51" s="33">
        <f t="shared" si="39"/>
        <v>100</v>
      </c>
      <c r="AL51" s="34"/>
      <c r="AM51" s="30">
        <v>6.0000000000000005E-2</v>
      </c>
      <c r="AN51" s="37">
        <f t="shared" si="40"/>
        <v>-1076400000</v>
      </c>
      <c r="AO51" s="38">
        <f t="shared" si="104"/>
        <v>-1054606919.4961284</v>
      </c>
      <c r="AP51" s="38">
        <f t="shared" si="41"/>
        <v>-1032790488.3383915</v>
      </c>
      <c r="AQ51" s="38">
        <f t="shared" si="42"/>
        <v>-1010927613.796355</v>
      </c>
      <c r="AR51" s="38">
        <f t="shared" si="43"/>
        <v>-988995716.06880379</v>
      </c>
      <c r="AS51" s="38">
        <f t="shared" si="44"/>
        <v>-966972977.49027479</v>
      </c>
      <c r="AT51" s="38">
        <f t="shared" si="45"/>
        <v>-944838583.12818766</v>
      </c>
      <c r="AU51" s="38">
        <f t="shared" si="46"/>
        <v>-922572950.06622028</v>
      </c>
      <c r="AV51" s="38">
        <f t="shared" si="47"/>
        <v>-900157942.80798495</v>
      </c>
      <c r="AW51" s="38">
        <f t="shared" si="48"/>
        <v>-877577072.40396929</v>
      </c>
      <c r="AX51" s="38">
        <f t="shared" si="49"/>
        <v>-854815677.1014632</v>
      </c>
      <c r="AY51" s="38">
        <f t="shared" si="50"/>
        <v>-831861082.53887177</v>
      </c>
      <c r="AZ51" s="38">
        <f t="shared" si="51"/>
        <v>-808702739.74908316</v>
      </c>
      <c r="BA51" s="38">
        <f t="shared" si="52"/>
        <v>-785332339.49796021</v>
      </c>
      <c r="BB51" s="38">
        <f t="shared" si="53"/>
        <v>-761743901.75983953</v>
      </c>
      <c r="BC51" s="38">
        <f t="shared" si="54"/>
        <v>-737933839.41844261</v>
      </c>
      <c r="BD51" s="38">
        <f t="shared" si="55"/>
        <v>-713900995.57506168</v>
      </c>
      <c r="BE51" s="38">
        <f t="shared" si="56"/>
        <v>-689646654.14259362</v>
      </c>
      <c r="BF51" s="38">
        <f t="shared" si="57"/>
        <v>-665174523.7003814</v>
      </c>
      <c r="BG51" s="38">
        <f t="shared" si="58"/>
        <v>-640490694.8775152</v>
      </c>
      <c r="BH51" s="38">
        <f t="shared" si="59"/>
        <v>-615603571.81802213</v>
      </c>
      <c r="BI51" s="38">
        <f t="shared" si="60"/>
        <v>-590523778.55735099</v>
      </c>
      <c r="BJ51" s="38">
        <f t="shared" si="61"/>
        <v>-565264041.4030329</v>
      </c>
      <c r="BK51" s="38">
        <f t="shared" si="62"/>
        <v>-539839048.66102111</v>
      </c>
      <c r="BL51" s="38">
        <f t="shared" si="63"/>
        <v>-514265289.28087085</v>
      </c>
      <c r="BM51" s="38">
        <f t="shared" si="64"/>
        <v>-488560872.20580417</v>
      </c>
      <c r="BN51" s="38">
        <f t="shared" si="65"/>
        <v>-462745328.40626502</v>
      </c>
      <c r="BO51" s="38">
        <f t="shared" si="66"/>
        <v>-436839397.74652261</v>
      </c>
      <c r="BP51" s="38">
        <f t="shared" si="67"/>
        <v>-410864802.98214132</v>
      </c>
      <c r="BQ51" s="38">
        <f t="shared" si="68"/>
        <v>-384844013.31086689</v>
      </c>
      <c r="BR51" s="37">
        <f t="shared" si="69"/>
        <v>-358800000</v>
      </c>
      <c r="BT51" s="34"/>
      <c r="BU51" s="41">
        <v>6.0000000000000005E-2</v>
      </c>
      <c r="BV51" s="37">
        <v>0</v>
      </c>
      <c r="BW51" s="39">
        <f t="shared" ref="BW51:CY51" si="115">$B$20/($B$21-$B$22*BV51)</f>
        <v>0.34883720930232553</v>
      </c>
      <c r="BX51" s="39">
        <f t="shared" si="115"/>
        <v>0.39716748768472904</v>
      </c>
      <c r="BY51" s="39">
        <f t="shared" si="115"/>
        <v>0.40494040593779607</v>
      </c>
      <c r="BZ51" s="39">
        <f t="shared" si="115"/>
        <v>0.4062190081621499</v>
      </c>
      <c r="CA51" s="39">
        <f t="shared" si="115"/>
        <v>0.40643010492156101</v>
      </c>
      <c r="CB51" s="39">
        <f t="shared" si="115"/>
        <v>0.40646497802255066</v>
      </c>
      <c r="CC51" s="39">
        <f t="shared" si="115"/>
        <v>0.40647073962099717</v>
      </c>
      <c r="CD51" s="39">
        <f t="shared" si="115"/>
        <v>0.40647169154566137</v>
      </c>
      <c r="CE51" s="39">
        <f t="shared" si="115"/>
        <v>0.40647184882198806</v>
      </c>
      <c r="CF51" s="39">
        <f t="shared" si="115"/>
        <v>0.40647187480708435</v>
      </c>
      <c r="CG51" s="39">
        <f t="shared" si="115"/>
        <v>0.40647187910032606</v>
      </c>
      <c r="CH51" s="39">
        <f t="shared" si="115"/>
        <v>0.40647187980965277</v>
      </c>
      <c r="CI51" s="39">
        <f t="shared" si="115"/>
        <v>0.4064718799268473</v>
      </c>
      <c r="CJ51" s="39">
        <f t="shared" si="115"/>
        <v>0.40647187994621015</v>
      </c>
      <c r="CK51" s="39">
        <f t="shared" si="115"/>
        <v>0.40647187994940925</v>
      </c>
      <c r="CL51" s="39">
        <f t="shared" si="115"/>
        <v>0.40647187994993778</v>
      </c>
      <c r="CM51" s="39">
        <f t="shared" si="115"/>
        <v>0.40647187995002515</v>
      </c>
      <c r="CN51" s="39">
        <f t="shared" si="115"/>
        <v>0.40647187995003953</v>
      </c>
      <c r="CO51" s="39">
        <f t="shared" si="115"/>
        <v>0.40647187995004191</v>
      </c>
      <c r="CP51" s="39">
        <f t="shared" si="115"/>
        <v>0.40647187995004236</v>
      </c>
      <c r="CQ51" s="39">
        <f t="shared" si="115"/>
        <v>0.40647187995004236</v>
      </c>
      <c r="CR51" s="39">
        <f t="shared" si="115"/>
        <v>0.40647187995004236</v>
      </c>
      <c r="CS51" s="39">
        <f t="shared" si="115"/>
        <v>0.40647187995004236</v>
      </c>
      <c r="CT51" s="39">
        <f t="shared" si="115"/>
        <v>0.40647187995004236</v>
      </c>
      <c r="CU51" s="39">
        <f t="shared" si="115"/>
        <v>0.40647187995004236</v>
      </c>
      <c r="CV51" s="39">
        <f t="shared" si="115"/>
        <v>0.40647187995004236</v>
      </c>
      <c r="CW51" s="39">
        <f t="shared" si="115"/>
        <v>0.40647187995004236</v>
      </c>
      <c r="CX51" s="39">
        <f t="shared" si="115"/>
        <v>0.40647187995004236</v>
      </c>
      <c r="CY51" s="37">
        <f t="shared" si="115"/>
        <v>0.40647187995004236</v>
      </c>
      <c r="CZ51" s="29">
        <f t="shared" si="71"/>
        <v>100</v>
      </c>
      <c r="DB51" s="34"/>
      <c r="DC51" s="41">
        <v>6.0000000000000005E-2</v>
      </c>
      <c r="DD51" s="37">
        <f t="shared" si="72"/>
        <v>300</v>
      </c>
      <c r="DE51" s="39">
        <f t="shared" si="73"/>
        <v>193.51254798585512</v>
      </c>
      <c r="DF51" s="39">
        <f t="shared" si="74"/>
        <v>175.93679676008597</v>
      </c>
      <c r="DG51" s="39">
        <f t="shared" si="75"/>
        <v>170.12445855266716</v>
      </c>
      <c r="DH51" s="39">
        <f t="shared" si="76"/>
        <v>166.14857598117584</v>
      </c>
      <c r="DI51" s="39">
        <f t="shared" si="77"/>
        <v>162.45699299895637</v>
      </c>
      <c r="DJ51" s="39">
        <f t="shared" si="78"/>
        <v>158.79727952034517</v>
      </c>
      <c r="DK51" s="39">
        <f t="shared" si="79"/>
        <v>155.12589436362097</v>
      </c>
      <c r="DL51" s="39">
        <f t="shared" si="80"/>
        <v>151.43320296263647</v>
      </c>
      <c r="DM51" s="39">
        <f t="shared" si="81"/>
        <v>147.71526033484014</v>
      </c>
      <c r="DN51" s="39">
        <f t="shared" si="82"/>
        <v>143.96928017932942</v>
      </c>
      <c r="DO51" s="39">
        <f t="shared" si="83"/>
        <v>140.19292698006524</v>
      </c>
      <c r="DP51" s="39">
        <f t="shared" si="84"/>
        <v>136.38422238034516</v>
      </c>
      <c r="DQ51" s="39">
        <f t="shared" si="85"/>
        <v>132.54154749592934</v>
      </c>
      <c r="DR51" s="39">
        <f t="shared" si="86"/>
        <v>128.6636573405593</v>
      </c>
      <c r="DS51" s="39">
        <f t="shared" si="87"/>
        <v>124.74969370132575</v>
      </c>
      <c r="DT51" s="39">
        <f t="shared" si="88"/>
        <v>120.79919415710839</v>
      </c>
      <c r="DU51" s="39">
        <f t="shared" si="89"/>
        <v>116.81209680408332</v>
      </c>
      <c r="DV51" s="39">
        <f t="shared" si="90"/>
        <v>112.78874059450577</v>
      </c>
      <c r="DW51" s="39">
        <f t="shared" si="91"/>
        <v>108.72986129074596</v>
      </c>
      <c r="DX51" s="39">
        <f t="shared" si="92"/>
        <v>104.6365830919415</v>
      </c>
      <c r="DY51" s="39">
        <f t="shared" si="93"/>
        <v>100.51040603837207</v>
      </c>
      <c r="DZ51" s="39">
        <f t="shared" si="94"/>
        <v>96.353189343637794</v>
      </c>
      <c r="EA51" s="39">
        <f t="shared" si="95"/>
        <v>92.167130847364206</v>
      </c>
      <c r="EB51" s="39">
        <f t="shared" si="96"/>
        <v>87.954742821228223</v>
      </c>
      <c r="EC51" s="39">
        <f t="shared" si="97"/>
        <v>83.718824398285889</v>
      </c>
      <c r="ED51" s="39">
        <f t="shared" si="98"/>
        <v>79.462430929604423</v>
      </c>
      <c r="EE51" s="39">
        <f t="shared" si="99"/>
        <v>75.188840602814039</v>
      </c>
      <c r="EF51" s="39">
        <f t="shared" si="100"/>
        <v>70.901518684194926</v>
      </c>
      <c r="EG51" s="39">
        <f t="shared" si="101"/>
        <v>66.604079769135552</v>
      </c>
      <c r="EH51" s="37">
        <f t="shared" si="102"/>
        <v>62.300248445106803</v>
      </c>
    </row>
    <row r="52" spans="5:138" x14ac:dyDescent="0.25">
      <c r="E52" s="32"/>
      <c r="F52" s="41">
        <v>5.6666666666666671E-2</v>
      </c>
      <c r="G52" s="33">
        <f t="shared" si="10"/>
        <v>300</v>
      </c>
      <c r="H52" s="35">
        <f t="shared" si="11"/>
        <v>293.91775620932737</v>
      </c>
      <c r="I52" s="35">
        <f t="shared" si="12"/>
        <v>287.82909699994531</v>
      </c>
      <c r="J52" s="35">
        <f t="shared" si="13"/>
        <v>281.72767778318808</v>
      </c>
      <c r="K52" s="35">
        <f t="shared" si="14"/>
        <v>275.60729483066967</v>
      </c>
      <c r="L52" s="35">
        <f t="shared" si="15"/>
        <v>269.46195371471777</v>
      </c>
      <c r="M52" s="35">
        <f t="shared" si="16"/>
        <v>263.28593538848429</v>
      </c>
      <c r="N52" s="35">
        <f t="shared" si="17"/>
        <v>257.07385916403791</v>
      </c>
      <c r="O52" s="35">
        <f t="shared" si="18"/>
        <v>250.82074188447677</v>
      </c>
      <c r="P52" s="35">
        <f t="shared" si="19"/>
        <v>244.5220526321549</v>
      </c>
      <c r="Q52" s="35">
        <f t="shared" si="20"/>
        <v>238.17376236879886</v>
      </c>
      <c r="R52" s="35">
        <f t="shared" si="21"/>
        <v>231.77238796380257</v>
      </c>
      <c r="S52" s="35">
        <f t="shared" si="22"/>
        <v>225.31503013343399</v>
      </c>
      <c r="T52" s="35">
        <f t="shared" si="23"/>
        <v>218.79940488513728</v>
      </c>
      <c r="U52" s="35">
        <f t="shared" si="24"/>
        <v>212.2238681365599</v>
      </c>
      <c r="V52" s="35">
        <f t="shared" si="25"/>
        <v>205.58743325737649</v>
      </c>
      <c r="W52" s="35">
        <f t="shared" si="26"/>
        <v>198.8897813623899</v>
      </c>
      <c r="X52" s="35">
        <f t="shared" si="27"/>
        <v>192.13126426577026</v>
      </c>
      <c r="Y52" s="35">
        <f t="shared" si="28"/>
        <v>185.31290008766291</v>
      </c>
      <c r="Z52" s="35">
        <f t="shared" si="29"/>
        <v>178.43636158483233</v>
      </c>
      <c r="AA52" s="35">
        <f t="shared" si="30"/>
        <v>171.5039573556293</v>
      </c>
      <c r="AB52" s="35">
        <f t="shared" si="31"/>
        <v>164.51860614557262</v>
      </c>
      <c r="AC52" s="35">
        <f t="shared" si="32"/>
        <v>157.48380455247346</v>
      </c>
      <c r="AD52" s="35">
        <f t="shared" si="33"/>
        <v>150.40358849864563</v>
      </c>
      <c r="AE52" s="35">
        <f t="shared" si="34"/>
        <v>143.28248890174496</v>
      </c>
      <c r="AF52" s="35">
        <f t="shared" si="35"/>
        <v>136.12548203465019</v>
      </c>
      <c r="AG52" s="35">
        <f t="shared" si="36"/>
        <v>128.93793511810043</v>
      </c>
      <c r="AH52" s="35">
        <f t="shared" si="37"/>
        <v>121.72554773716294</v>
      </c>
      <c r="AI52" s="35">
        <f t="shared" si="38"/>
        <v>114.4942897137131</v>
      </c>
      <c r="AJ52" s="35">
        <f t="shared" si="103"/>
        <v>107.25033610171542</v>
      </c>
      <c r="AK52" s="33">
        <f t="shared" si="39"/>
        <v>100</v>
      </c>
      <c r="AL52" s="34"/>
      <c r="AM52" s="30">
        <v>5.6666666666666671E-2</v>
      </c>
      <c r="AN52" s="37">
        <f t="shared" si="40"/>
        <v>-1076400000</v>
      </c>
      <c r="AO52" s="38">
        <f t="shared" si="104"/>
        <v>-1054603469.1125239</v>
      </c>
      <c r="AP52" s="38">
        <f t="shared" si="41"/>
        <v>-1032783626.466337</v>
      </c>
      <c r="AQ52" s="38">
        <f t="shared" si="42"/>
        <v>-1010917417.7521302</v>
      </c>
      <c r="AR52" s="38">
        <f t="shared" si="43"/>
        <v>-988982300.64905763</v>
      </c>
      <c r="AS52" s="38">
        <f t="shared" si="44"/>
        <v>-966956493.57897365</v>
      </c>
      <c r="AT52" s="38">
        <f t="shared" si="45"/>
        <v>-944819215.87248266</v>
      </c>
      <c r="AU52" s="38">
        <f t="shared" si="46"/>
        <v>-922550916.64874256</v>
      </c>
      <c r="AV52" s="38">
        <f t="shared" si="47"/>
        <v>-900133489.84873271</v>
      </c>
      <c r="AW52" s="38">
        <f t="shared" si="48"/>
        <v>-877550473.02985299</v>
      </c>
      <c r="AX52" s="38">
        <f t="shared" si="49"/>
        <v>-854787227.72564113</v>
      </c>
      <c r="AY52" s="38">
        <f t="shared" si="50"/>
        <v>-831831099.39516473</v>
      </c>
      <c r="AZ52" s="38">
        <f t="shared" si="51"/>
        <v>-808671555.228984</v>
      </c>
      <c r="BA52" s="38">
        <f t="shared" si="52"/>
        <v>-785300298.33903444</v>
      </c>
      <c r="BB52" s="38">
        <f t="shared" si="53"/>
        <v>-761711357.13468599</v>
      </c>
      <c r="BC52" s="38">
        <f t="shared" si="54"/>
        <v>-737901148.97289193</v>
      </c>
      <c r="BD52" s="38">
        <f t="shared" si="55"/>
        <v>-713868517.46301591</v>
      </c>
      <c r="BE52" s="38">
        <f t="shared" si="56"/>
        <v>-689614743.10294259</v>
      </c>
      <c r="BF52" s="38">
        <f t="shared" si="57"/>
        <v>-665143527.218889</v>
      </c>
      <c r="BG52" s="38">
        <f t="shared" si="58"/>
        <v>-640460949.47356021</v>
      </c>
      <c r="BH52" s="38">
        <f t="shared" si="59"/>
        <v>-615575399.49273181</v>
      </c>
      <c r="BI52" s="38">
        <f t="shared" si="60"/>
        <v>-590497483.43611073</v>
      </c>
      <c r="BJ52" s="38">
        <f t="shared" si="61"/>
        <v>-565239906.60169148</v>
      </c>
      <c r="BK52" s="38">
        <f t="shared" si="62"/>
        <v>-539817333.40146232</v>
      </c>
      <c r="BL52" s="38">
        <f t="shared" si="63"/>
        <v>-514246226.27806467</v>
      </c>
      <c r="BM52" s="38">
        <f t="shared" si="64"/>
        <v>-488544665.34506863</v>
      </c>
      <c r="BN52" s="38">
        <f t="shared" si="65"/>
        <v>-462732150.72630978</v>
      </c>
      <c r="BO52" s="38">
        <f t="shared" si="66"/>
        <v>-436829389.74094182</v>
      </c>
      <c r="BP52" s="38">
        <f t="shared" si="67"/>
        <v>-410858071.22939068</v>
      </c>
      <c r="BQ52" s="38">
        <f t="shared" si="68"/>
        <v>-384840629.4403863</v>
      </c>
      <c r="BR52" s="37">
        <f t="shared" si="69"/>
        <v>-358800000</v>
      </c>
      <c r="BT52" s="34"/>
      <c r="BU52" s="41">
        <v>5.6666666666666671E-2</v>
      </c>
      <c r="BV52" s="37">
        <v>0</v>
      </c>
      <c r="BW52" s="39">
        <f t="shared" ref="BW52:CY52" si="116">$B$20/($B$21-$B$22*BV52)</f>
        <v>0.34883720930232553</v>
      </c>
      <c r="BX52" s="39">
        <f t="shared" si="116"/>
        <v>0.39716748768472904</v>
      </c>
      <c r="BY52" s="39">
        <f t="shared" si="116"/>
        <v>0.40494040593779607</v>
      </c>
      <c r="BZ52" s="39">
        <f t="shared" si="116"/>
        <v>0.4062190081621499</v>
      </c>
      <c r="CA52" s="39">
        <f t="shared" si="116"/>
        <v>0.40643010492156101</v>
      </c>
      <c r="CB52" s="39">
        <f t="shared" si="116"/>
        <v>0.40646497802255066</v>
      </c>
      <c r="CC52" s="39">
        <f t="shared" si="116"/>
        <v>0.40647073962099717</v>
      </c>
      <c r="CD52" s="39">
        <f t="shared" si="116"/>
        <v>0.40647169154566137</v>
      </c>
      <c r="CE52" s="39">
        <f t="shared" si="116"/>
        <v>0.40647184882198806</v>
      </c>
      <c r="CF52" s="39">
        <f t="shared" si="116"/>
        <v>0.40647187480708435</v>
      </c>
      <c r="CG52" s="39">
        <f t="shared" si="116"/>
        <v>0.40647187910032606</v>
      </c>
      <c r="CH52" s="39">
        <f t="shared" si="116"/>
        <v>0.40647187980965277</v>
      </c>
      <c r="CI52" s="39">
        <f t="shared" si="116"/>
        <v>0.4064718799268473</v>
      </c>
      <c r="CJ52" s="39">
        <f t="shared" si="116"/>
        <v>0.40647187994621015</v>
      </c>
      <c r="CK52" s="39">
        <f t="shared" si="116"/>
        <v>0.40647187994940925</v>
      </c>
      <c r="CL52" s="39">
        <f t="shared" si="116"/>
        <v>0.40647187994993778</v>
      </c>
      <c r="CM52" s="39">
        <f t="shared" si="116"/>
        <v>0.40647187995002515</v>
      </c>
      <c r="CN52" s="39">
        <f t="shared" si="116"/>
        <v>0.40647187995003953</v>
      </c>
      <c r="CO52" s="39">
        <f t="shared" si="116"/>
        <v>0.40647187995004191</v>
      </c>
      <c r="CP52" s="39">
        <f t="shared" si="116"/>
        <v>0.40647187995004236</v>
      </c>
      <c r="CQ52" s="39">
        <f t="shared" si="116"/>
        <v>0.40647187995004236</v>
      </c>
      <c r="CR52" s="39">
        <f t="shared" si="116"/>
        <v>0.40647187995004236</v>
      </c>
      <c r="CS52" s="39">
        <f t="shared" si="116"/>
        <v>0.40647187995004236</v>
      </c>
      <c r="CT52" s="39">
        <f t="shared" si="116"/>
        <v>0.40647187995004236</v>
      </c>
      <c r="CU52" s="39">
        <f t="shared" si="116"/>
        <v>0.40647187995004236</v>
      </c>
      <c r="CV52" s="39">
        <f t="shared" si="116"/>
        <v>0.40647187995004236</v>
      </c>
      <c r="CW52" s="39">
        <f t="shared" si="116"/>
        <v>0.40647187995004236</v>
      </c>
      <c r="CX52" s="39">
        <f t="shared" si="116"/>
        <v>0.40647187995004236</v>
      </c>
      <c r="CY52" s="37">
        <f t="shared" si="116"/>
        <v>0.40647187995004236</v>
      </c>
      <c r="CZ52" s="29">
        <f t="shared" si="71"/>
        <v>100</v>
      </c>
      <c r="DB52" s="34"/>
      <c r="DC52" s="41">
        <v>5.6666666666666671E-2</v>
      </c>
      <c r="DD52" s="37">
        <f t="shared" si="72"/>
        <v>300</v>
      </c>
      <c r="DE52" s="39">
        <f t="shared" si="73"/>
        <v>193.51225725585809</v>
      </c>
      <c r="DF52" s="39">
        <f t="shared" si="74"/>
        <v>175.93602300354365</v>
      </c>
      <c r="DG52" s="39">
        <f t="shared" si="75"/>
        <v>170.12314793503887</v>
      </c>
      <c r="DH52" s="39">
        <f t="shared" si="76"/>
        <v>166.14672725524187</v>
      </c>
      <c r="DI52" s="39">
        <f t="shared" si="77"/>
        <v>162.45462337040479</v>
      </c>
      <c r="DJ52" s="39">
        <f t="shared" si="78"/>
        <v>158.79441487320133</v>
      </c>
      <c r="DK52" s="39">
        <f t="shared" si="79"/>
        <v>155.12256669796739</v>
      </c>
      <c r="DL52" s="39">
        <f t="shared" si="80"/>
        <v>151.42944953086754</v>
      </c>
      <c r="DM52" s="39">
        <f t="shared" si="81"/>
        <v>147.71112310122038</v>
      </c>
      <c r="DN52" s="39">
        <f t="shared" si="82"/>
        <v>143.96480530463714</v>
      </c>
      <c r="DO52" s="39">
        <f t="shared" si="83"/>
        <v>140.18816427591906</v>
      </c>
      <c r="DP52" s="39">
        <f t="shared" si="84"/>
        <v>136.37922472853893</v>
      </c>
      <c r="DQ52" s="39">
        <f t="shared" si="85"/>
        <v>132.53637023832243</v>
      </c>
      <c r="DR52" s="39">
        <f t="shared" si="86"/>
        <v>128.65835764711807</v>
      </c>
      <c r="DS52" s="39">
        <f t="shared" si="87"/>
        <v>124.74432992427889</v>
      </c>
      <c r="DT52" s="39">
        <f t="shared" si="88"/>
        <v>120.79382517912397</v>
      </c>
      <c r="DU52" s="39">
        <f t="shared" si="89"/>
        <v>116.80678138814673</v>
      </c>
      <c r="DV52" s="39">
        <f t="shared" si="90"/>
        <v>112.7835367428311</v>
      </c>
      <c r="DW52" s="39">
        <f t="shared" si="91"/>
        <v>108.72482561961786</v>
      </c>
      <c r="DX52" s="39">
        <f t="shared" si="92"/>
        <v>104.6317702288778</v>
      </c>
      <c r="DY52" s="39">
        <f t="shared" si="93"/>
        <v>100.50586804744371</v>
      </c>
      <c r="DZ52" s="39">
        <f t="shared" si="94"/>
        <v>96.348975184196391</v>
      </c>
      <c r="EA52" s="39">
        <f t="shared" si="95"/>
        <v>92.163285870832283</v>
      </c>
      <c r="EB52" s="39">
        <f t="shared" si="96"/>
        <v>87.95130831001498</v>
      </c>
      <c r="EC52" s="39">
        <f t="shared" si="97"/>
        <v>83.715837150319317</v>
      </c>
      <c r="ED52" s="39">
        <f t="shared" si="98"/>
        <v>79.459922891427198</v>
      </c>
      <c r="EE52" s="39">
        <f t="shared" si="99"/>
        <v>75.186838553685178</v>
      </c>
      <c r="EF52" s="39">
        <f t="shared" si="100"/>
        <v>70.900043973174931</v>
      </c>
      <c r="EG52" s="39">
        <f t="shared" si="101"/>
        <v>66.603148106711174</v>
      </c>
      <c r="EH52" s="37">
        <f t="shared" si="102"/>
        <v>62.299869750529673</v>
      </c>
    </row>
    <row r="53" spans="5:138" x14ac:dyDescent="0.25">
      <c r="E53" s="32"/>
      <c r="F53" s="41">
        <v>5.3333333333333337E-2</v>
      </c>
      <c r="G53" s="33">
        <f t="shared" si="10"/>
        <v>300</v>
      </c>
      <c r="H53" s="35">
        <f t="shared" si="11"/>
        <v>293.91678458228444</v>
      </c>
      <c r="I53" s="35">
        <f t="shared" si="12"/>
        <v>287.82716468732531</v>
      </c>
      <c r="J53" s="35">
        <f t="shared" si="13"/>
        <v>281.72480653506352</v>
      </c>
      <c r="K53" s="35">
        <f t="shared" si="14"/>
        <v>275.60351694202814</v>
      </c>
      <c r="L53" s="35">
        <f t="shared" si="15"/>
        <v>269.45731163494463</v>
      </c>
      <c r="M53" s="35">
        <f t="shared" si="16"/>
        <v>263.28048120991173</v>
      </c>
      <c r="N53" s="35">
        <f t="shared" si="17"/>
        <v>257.06765399720297</v>
      </c>
      <c r="O53" s="35">
        <f t="shared" si="18"/>
        <v>250.81385512930598</v>
      </c>
      <c r="P53" s="35">
        <f t="shared" si="19"/>
        <v>244.51456115566347</v>
      </c>
      <c r="Q53" s="35">
        <f t="shared" si="20"/>
        <v>238.16574960103168</v>
      </c>
      <c r="R53" s="35">
        <f t="shared" si="21"/>
        <v>231.7639429246338</v>
      </c>
      <c r="S53" s="35">
        <f t="shared" si="22"/>
        <v>225.30624640347611</v>
      </c>
      <c r="T53" s="35">
        <f t="shared" si="23"/>
        <v>218.79037953438444</v>
      </c>
      <c r="U53" s="35">
        <f t="shared" si="24"/>
        <v>212.21470062451328</v>
      </c>
      <c r="V53" s="35">
        <f t="shared" si="25"/>
        <v>205.57822431828288</v>
      </c>
      <c r="W53" s="35">
        <f t="shared" si="26"/>
        <v>198.88063188889259</v>
      </c>
      <c r="X53" s="35">
        <f t="shared" si="27"/>
        <v>192.12227420374521</v>
      </c>
      <c r="Y53" s="35">
        <f t="shared" si="28"/>
        <v>185.30416735432499</v>
      </c>
      <c r="Z53" s="35">
        <f t="shared" si="29"/>
        <v>178.42798102137925</v>
      </c>
      <c r="AA53" s="35">
        <f t="shared" si="30"/>
        <v>171.49601972477603</v>
      </c>
      <c r="AB53" s="35">
        <f t="shared" si="31"/>
        <v>164.51119718335013</v>
      </c>
      <c r="AC53" s="35">
        <f t="shared" si="32"/>
        <v>157.47700408265743</v>
      </c>
      <c r="AD53" s="35">
        <f t="shared" si="33"/>
        <v>150.39746961716745</v>
      </c>
      <c r="AE53" s="35">
        <f t="shared" si="34"/>
        <v>143.27711723744682</v>
      </c>
      <c r="AF53" s="35">
        <f t="shared" si="35"/>
        <v>136.12091509179899</v>
      </c>
      <c r="AG53" s="35">
        <f t="shared" si="36"/>
        <v>128.93422170518386</v>
      </c>
      <c r="AH53" s="35">
        <f t="shared" si="37"/>
        <v>121.72272748566718</v>
      </c>
      <c r="AI53" s="35">
        <f t="shared" si="38"/>
        <v>114.49239268982781</v>
      </c>
      <c r="AJ53" s="35">
        <f t="shared" si="103"/>
        <v>107.24938251322561</v>
      </c>
      <c r="AK53" s="33">
        <f t="shared" si="39"/>
        <v>100</v>
      </c>
      <c r="AL53" s="34"/>
      <c r="AM53" s="30">
        <v>5.3333333333333337E-2</v>
      </c>
      <c r="AN53" s="37">
        <f t="shared" si="40"/>
        <v>-1076400000</v>
      </c>
      <c r="AO53" s="38">
        <f t="shared" si="104"/>
        <v>-1054599937.6170251</v>
      </c>
      <c r="AP53" s="38">
        <f t="shared" si="41"/>
        <v>-1032776603.2833562</v>
      </c>
      <c r="AQ53" s="38">
        <f t="shared" si="42"/>
        <v>-1010906982.0126103</v>
      </c>
      <c r="AR53" s="38">
        <f t="shared" si="43"/>
        <v>-988968569.84415627</v>
      </c>
      <c r="AS53" s="38">
        <f t="shared" si="44"/>
        <v>-966939622.13449192</v>
      </c>
      <c r="AT53" s="38">
        <f t="shared" si="45"/>
        <v>-944799393.28214097</v>
      </c>
      <c r="AU53" s="38">
        <f t="shared" si="46"/>
        <v>-922528365.19444323</v>
      </c>
      <c r="AV53" s="38">
        <f t="shared" si="47"/>
        <v>-900108461.9417367</v>
      </c>
      <c r="AW53" s="38">
        <f t="shared" si="48"/>
        <v>-877523248.21181607</v>
      </c>
      <c r="AX53" s="38">
        <f t="shared" si="49"/>
        <v>-854758109.37261367</v>
      </c>
      <c r="AY53" s="38">
        <f t="shared" si="50"/>
        <v>-831800411.17089164</v>
      </c>
      <c r="AZ53" s="38">
        <f t="shared" si="51"/>
        <v>-808639637.33611917</v>
      </c>
      <c r="BA53" s="38">
        <f t="shared" si="52"/>
        <v>-785267503.61819875</v>
      </c>
      <c r="BB53" s="38">
        <f t="shared" si="53"/>
        <v>-761678047.06168091</v>
      </c>
      <c r="BC53" s="38">
        <f t="shared" si="54"/>
        <v>-737867689.60388064</v>
      </c>
      <c r="BD53" s="38">
        <f t="shared" si="55"/>
        <v>-713835275.3761816</v>
      </c>
      <c r="BE53" s="38">
        <f t="shared" si="56"/>
        <v>-689582081.38312733</v>
      </c>
      <c r="BF53" s="38">
        <f t="shared" si="57"/>
        <v>-665111801.52911377</v>
      </c>
      <c r="BG53" s="38">
        <f t="shared" si="58"/>
        <v>-640430504.25425088</v>
      </c>
      <c r="BH53" s="38">
        <f t="shared" si="59"/>
        <v>-615546564.32606208</v>
      </c>
      <c r="BI53" s="38">
        <f t="shared" si="60"/>
        <v>-590470569.60922492</v>
      </c>
      <c r="BJ53" s="38">
        <f t="shared" si="61"/>
        <v>-565215203.8988359</v>
      </c>
      <c r="BK53" s="38">
        <f t="shared" si="62"/>
        <v>-539795107.15131176</v>
      </c>
      <c r="BL53" s="38">
        <f t="shared" si="63"/>
        <v>-514226714.67889786</v>
      </c>
      <c r="BM53" s="38">
        <f t="shared" si="64"/>
        <v>-488528077.08697957</v>
      </c>
      <c r="BN53" s="38">
        <f t="shared" si="65"/>
        <v>-462718662.92641246</v>
      </c>
      <c r="BO53" s="38">
        <f t="shared" si="66"/>
        <v>-436819146.20454997</v>
      </c>
      <c r="BP53" s="38">
        <f t="shared" si="67"/>
        <v>-410851181.04746038</v>
      </c>
      <c r="BQ53" s="38">
        <f t="shared" si="68"/>
        <v>-384837165.9310745</v>
      </c>
      <c r="BR53" s="37">
        <f t="shared" si="69"/>
        <v>-358800000</v>
      </c>
      <c r="BT53" s="34"/>
      <c r="BU53" s="41">
        <v>5.3333333333333337E-2</v>
      </c>
      <c r="BV53" s="37">
        <v>0</v>
      </c>
      <c r="BW53" s="39">
        <f t="shared" ref="BW53:CY53" si="117">$B$20/($B$21-$B$22*BV53)</f>
        <v>0.34883720930232553</v>
      </c>
      <c r="BX53" s="39">
        <f t="shared" si="117"/>
        <v>0.39716748768472904</v>
      </c>
      <c r="BY53" s="39">
        <f t="shared" si="117"/>
        <v>0.40494040593779607</v>
      </c>
      <c r="BZ53" s="39">
        <f t="shared" si="117"/>
        <v>0.4062190081621499</v>
      </c>
      <c r="CA53" s="39">
        <f t="shared" si="117"/>
        <v>0.40643010492156101</v>
      </c>
      <c r="CB53" s="39">
        <f t="shared" si="117"/>
        <v>0.40646497802255066</v>
      </c>
      <c r="CC53" s="39">
        <f t="shared" si="117"/>
        <v>0.40647073962099717</v>
      </c>
      <c r="CD53" s="39">
        <f t="shared" si="117"/>
        <v>0.40647169154566137</v>
      </c>
      <c r="CE53" s="39">
        <f t="shared" si="117"/>
        <v>0.40647184882198806</v>
      </c>
      <c r="CF53" s="39">
        <f t="shared" si="117"/>
        <v>0.40647187480708435</v>
      </c>
      <c r="CG53" s="39">
        <f t="shared" si="117"/>
        <v>0.40647187910032606</v>
      </c>
      <c r="CH53" s="39">
        <f t="shared" si="117"/>
        <v>0.40647187980965277</v>
      </c>
      <c r="CI53" s="39">
        <f t="shared" si="117"/>
        <v>0.4064718799268473</v>
      </c>
      <c r="CJ53" s="39">
        <f t="shared" si="117"/>
        <v>0.40647187994621015</v>
      </c>
      <c r="CK53" s="39">
        <f t="shared" si="117"/>
        <v>0.40647187994940925</v>
      </c>
      <c r="CL53" s="39">
        <f t="shared" si="117"/>
        <v>0.40647187994993778</v>
      </c>
      <c r="CM53" s="39">
        <f t="shared" si="117"/>
        <v>0.40647187995002515</v>
      </c>
      <c r="CN53" s="39">
        <f t="shared" si="117"/>
        <v>0.40647187995003953</v>
      </c>
      <c r="CO53" s="39">
        <f t="shared" si="117"/>
        <v>0.40647187995004191</v>
      </c>
      <c r="CP53" s="39">
        <f t="shared" si="117"/>
        <v>0.40647187995004236</v>
      </c>
      <c r="CQ53" s="39">
        <f t="shared" si="117"/>
        <v>0.40647187995004236</v>
      </c>
      <c r="CR53" s="39">
        <f t="shared" si="117"/>
        <v>0.40647187995004236</v>
      </c>
      <c r="CS53" s="39">
        <f t="shared" si="117"/>
        <v>0.40647187995004236</v>
      </c>
      <c r="CT53" s="39">
        <f t="shared" si="117"/>
        <v>0.40647187995004236</v>
      </c>
      <c r="CU53" s="39">
        <f t="shared" si="117"/>
        <v>0.40647187995004236</v>
      </c>
      <c r="CV53" s="39">
        <f t="shared" si="117"/>
        <v>0.40647187995004236</v>
      </c>
      <c r="CW53" s="39">
        <f t="shared" si="117"/>
        <v>0.40647187995004236</v>
      </c>
      <c r="CX53" s="39">
        <f t="shared" si="117"/>
        <v>0.40647187995004236</v>
      </c>
      <c r="CY53" s="37">
        <f t="shared" si="117"/>
        <v>0.40647187995004236</v>
      </c>
      <c r="CZ53" s="29">
        <f t="shared" si="71"/>
        <v>100</v>
      </c>
      <c r="DB53" s="34"/>
      <c r="DC53" s="41">
        <v>5.3333333333333337E-2</v>
      </c>
      <c r="DD53" s="37">
        <f t="shared" si="72"/>
        <v>300</v>
      </c>
      <c r="DE53" s="39">
        <f t="shared" si="73"/>
        <v>193.51195969135702</v>
      </c>
      <c r="DF53" s="39">
        <f t="shared" si="74"/>
        <v>175.9352310573278</v>
      </c>
      <c r="DG53" s="39">
        <f t="shared" si="75"/>
        <v>170.12180650667437</v>
      </c>
      <c r="DH53" s="39">
        <f t="shared" si="76"/>
        <v>166.14483506764157</v>
      </c>
      <c r="DI53" s="39">
        <f t="shared" si="77"/>
        <v>162.45219803300114</v>
      </c>
      <c r="DJ53" s="39">
        <f t="shared" si="78"/>
        <v>158.79148287762996</v>
      </c>
      <c r="DK53" s="39">
        <f t="shared" si="79"/>
        <v>155.11916079560035</v>
      </c>
      <c r="DL53" s="39">
        <f t="shared" si="80"/>
        <v>151.4256078488184</v>
      </c>
      <c r="DM53" s="39">
        <f t="shared" si="81"/>
        <v>147.70688858925746</v>
      </c>
      <c r="DN53" s="39">
        <f t="shared" si="82"/>
        <v>143.9602252077737</v>
      </c>
      <c r="DO53" s="39">
        <f t="shared" si="83"/>
        <v>140.1832895759718</v>
      </c>
      <c r="DP53" s="39">
        <f t="shared" si="84"/>
        <v>136.37410954986748</v>
      </c>
      <c r="DQ53" s="39">
        <f t="shared" si="85"/>
        <v>132.53107122342544</v>
      </c>
      <c r="DR53" s="39">
        <f t="shared" si="86"/>
        <v>128.65293330985713</v>
      </c>
      <c r="DS53" s="39">
        <f t="shared" si="87"/>
        <v>124.73883998887825</v>
      </c>
      <c r="DT53" s="39">
        <f t="shared" si="88"/>
        <v>120.78832991303887</v>
      </c>
      <c r="DU53" s="39">
        <f t="shared" si="89"/>
        <v>116.80134093665865</v>
      </c>
      <c r="DV53" s="39">
        <f t="shared" si="90"/>
        <v>112.77821047287499</v>
      </c>
      <c r="DW53" s="39">
        <f t="shared" si="91"/>
        <v>108.71967147990007</v>
      </c>
      <c r="DX53" s="39">
        <f t="shared" si="92"/>
        <v>104.62684413282759</v>
      </c>
      <c r="DY53" s="39">
        <f t="shared" si="93"/>
        <v>100.50122328497186</v>
      </c>
      <c r="DZ53" s="39">
        <f t="shared" si="94"/>
        <v>96.34466186763801</v>
      </c>
      <c r="EA53" s="39">
        <f t="shared" si="95"/>
        <v>92.159350419839811</v>
      </c>
      <c r="EB53" s="39">
        <f t="shared" si="96"/>
        <v>87.947792979563175</v>
      </c>
      <c r="EC53" s="39">
        <f t="shared" si="97"/>
        <v>83.712779605397344</v>
      </c>
      <c r="ED53" s="39">
        <f t="shared" si="98"/>
        <v>79.457355831438036</v>
      </c>
      <c r="EE53" s="39">
        <f t="shared" si="99"/>
        <v>75.184789389054387</v>
      </c>
      <c r="EF53" s="39">
        <f t="shared" si="100"/>
        <v>70.898534556195798</v>
      </c>
      <c r="EG53" s="39">
        <f t="shared" si="101"/>
        <v>66.602194518221367</v>
      </c>
      <c r="EH53" s="37">
        <f t="shared" si="102"/>
        <v>62.299482143623521</v>
      </c>
    </row>
    <row r="54" spans="5:138" x14ac:dyDescent="0.25">
      <c r="E54" s="32"/>
      <c r="F54" s="41">
        <v>0.05</v>
      </c>
      <c r="G54" s="33">
        <f t="shared" si="10"/>
        <v>300</v>
      </c>
      <c r="H54" s="35">
        <f t="shared" si="11"/>
        <v>293.91580206266985</v>
      </c>
      <c r="I54" s="35">
        <f t="shared" si="12"/>
        <v>287.82521071181611</v>
      </c>
      <c r="J54" s="35">
        <f t="shared" si="13"/>
        <v>281.7219030967733</v>
      </c>
      <c r="K54" s="35">
        <f t="shared" si="14"/>
        <v>275.59969669686012</v>
      </c>
      <c r="L54" s="35">
        <f t="shared" si="15"/>
        <v>269.452617506759</v>
      </c>
      <c r="M54" s="35">
        <f t="shared" si="16"/>
        <v>263.27496587342051</v>
      </c>
      <c r="N54" s="35">
        <f t="shared" si="17"/>
        <v>257.06137924631582</v>
      </c>
      <c r="O54" s="35">
        <f t="shared" si="18"/>
        <v>250.80689114024489</v>
      </c>
      <c r="P54" s="35">
        <f t="shared" si="19"/>
        <v>244.50698565554734</v>
      </c>
      <c r="Q54" s="35">
        <f t="shared" si="20"/>
        <v>238.15764695378499</v>
      </c>
      <c r="R54" s="35">
        <f t="shared" si="21"/>
        <v>231.75540314697287</v>
      </c>
      <c r="S54" s="35">
        <f t="shared" si="22"/>
        <v>225.29736412436748</v>
      </c>
      <c r="T54" s="35">
        <f t="shared" si="23"/>
        <v>218.78125291174922</v>
      </c>
      <c r="U54" s="35">
        <f t="shared" si="24"/>
        <v>212.20543023307488</v>
      </c>
      <c r="V54" s="35">
        <f t="shared" si="25"/>
        <v>205.56891202234056</v>
      </c>
      <c r="W54" s="35">
        <f t="shared" si="26"/>
        <v>198.87137971346635</v>
      </c>
      <c r="X54" s="35">
        <f t="shared" si="27"/>
        <v>192.11318321700736</v>
      </c>
      <c r="Y54" s="35">
        <f t="shared" si="28"/>
        <v>185.29533657353969</v>
      </c>
      <c r="Z54" s="35">
        <f t="shared" si="29"/>
        <v>178.41950635374428</v>
      </c>
      <c r="AA54" s="35">
        <f t="shared" si="30"/>
        <v>171.48799295363801</v>
      </c>
      <c r="AB54" s="35">
        <f t="shared" si="31"/>
        <v>164.5037050092759</v>
      </c>
      <c r="AC54" s="35">
        <f t="shared" si="32"/>
        <v>157.47012722782398</v>
      </c>
      <c r="AD54" s="35">
        <f t="shared" si="33"/>
        <v>150.39128200050996</v>
      </c>
      <c r="AE54" s="35">
        <f t="shared" si="34"/>
        <v>143.27168522700313</v>
      </c>
      <c r="AF54" s="35">
        <f t="shared" si="35"/>
        <v>136.11629683973035</v>
      </c>
      <c r="AG54" s="35">
        <f t="shared" si="36"/>
        <v>128.93046657005129</v>
      </c>
      <c r="AH54" s="35">
        <f t="shared" si="37"/>
        <v>121.71987554570933</v>
      </c>
      <c r="AI54" s="35">
        <f t="shared" si="38"/>
        <v>114.490474350223</v>
      </c>
      <c r="AJ54" s="35">
        <f t="shared" si="103"/>
        <v>107.24841820962698</v>
      </c>
      <c r="AK54" s="33">
        <f t="shared" si="39"/>
        <v>100</v>
      </c>
      <c r="AL54" s="34"/>
      <c r="AM54" s="30">
        <v>0.05</v>
      </c>
      <c r="AN54" s="37">
        <f t="shared" si="40"/>
        <v>-1076400000</v>
      </c>
      <c r="AO54" s="38">
        <f t="shared" si="104"/>
        <v>-1054596366.5328472</v>
      </c>
      <c r="AP54" s="38">
        <f t="shared" si="41"/>
        <v>-1032769501.3677388</v>
      </c>
      <c r="AQ54" s="38">
        <f t="shared" si="42"/>
        <v>-1010896429.2805861</v>
      </c>
      <c r="AR54" s="38">
        <f t="shared" si="43"/>
        <v>-988954685.09971213</v>
      </c>
      <c r="AS54" s="38">
        <f t="shared" si="44"/>
        <v>-966922561.52925444</v>
      </c>
      <c r="AT54" s="38">
        <f t="shared" si="45"/>
        <v>-944779348.42802441</v>
      </c>
      <c r="AU54" s="38">
        <f t="shared" si="46"/>
        <v>-922505560.85870159</v>
      </c>
      <c r="AV54" s="38">
        <f t="shared" si="47"/>
        <v>-900083153.35871315</v>
      </c>
      <c r="AW54" s="38">
        <f t="shared" si="48"/>
        <v>-877495718.05075204</v>
      </c>
      <c r="AX54" s="38">
        <f t="shared" si="49"/>
        <v>-854728664.40508687</v>
      </c>
      <c r="AY54" s="38">
        <f t="shared" si="50"/>
        <v>-831769378.68472242</v>
      </c>
      <c r="AZ54" s="38">
        <f t="shared" si="51"/>
        <v>-808607361.34488404</v>
      </c>
      <c r="BA54" s="38">
        <f t="shared" si="52"/>
        <v>-785234340.91682863</v>
      </c>
      <c r="BB54" s="38">
        <f t="shared" si="53"/>
        <v>-761644363.17900121</v>
      </c>
      <c r="BC54" s="38">
        <f t="shared" si="54"/>
        <v>-737833854.70245695</v>
      </c>
      <c r="BD54" s="38">
        <f t="shared" si="55"/>
        <v>-713801660.14851868</v>
      </c>
      <c r="BE54" s="38">
        <f t="shared" si="56"/>
        <v>-689549052.99123847</v>
      </c>
      <c r="BF54" s="38">
        <f t="shared" si="57"/>
        <v>-665079719.63185728</v>
      </c>
      <c r="BG54" s="38">
        <f t="shared" si="58"/>
        <v>-640399717.16372168</v>
      </c>
      <c r="BH54" s="38">
        <f t="shared" si="59"/>
        <v>-615517405.33087242</v>
      </c>
      <c r="BI54" s="38">
        <f t="shared" si="60"/>
        <v>-590443353.49883401</v>
      </c>
      <c r="BJ54" s="38">
        <f t="shared" si="61"/>
        <v>-565190223.71930182</v>
      </c>
      <c r="BK54" s="38">
        <f t="shared" si="62"/>
        <v>-539772631.21906805</v>
      </c>
      <c r="BL54" s="38">
        <f t="shared" si="63"/>
        <v>-514206983.87547851</v>
      </c>
      <c r="BM54" s="38">
        <f t="shared" si="64"/>
        <v>-488511302.45411456</v>
      </c>
      <c r="BN54" s="38">
        <f t="shared" si="65"/>
        <v>-462705023.57764888</v>
      </c>
      <c r="BO54" s="38">
        <f t="shared" si="66"/>
        <v>-436808787.5665428</v>
      </c>
      <c r="BP54" s="38">
        <f t="shared" si="67"/>
        <v>-410844213.44135427</v>
      </c>
      <c r="BQ54" s="38">
        <f t="shared" si="68"/>
        <v>-384833663.50192988</v>
      </c>
      <c r="BR54" s="37">
        <f t="shared" si="69"/>
        <v>-358800000</v>
      </c>
      <c r="BT54" s="34"/>
      <c r="BU54" s="41">
        <v>0.05</v>
      </c>
      <c r="BV54" s="37">
        <v>0</v>
      </c>
      <c r="BW54" s="39">
        <f t="shared" ref="BW54:CY54" si="118">$B$20/($B$21-$B$22*BV54)</f>
        <v>0.34883720930232553</v>
      </c>
      <c r="BX54" s="39">
        <f t="shared" si="118"/>
        <v>0.39716748768472904</v>
      </c>
      <c r="BY54" s="39">
        <f t="shared" si="118"/>
        <v>0.40494040593779607</v>
      </c>
      <c r="BZ54" s="39">
        <f t="shared" si="118"/>
        <v>0.4062190081621499</v>
      </c>
      <c r="CA54" s="39">
        <f t="shared" si="118"/>
        <v>0.40643010492156101</v>
      </c>
      <c r="CB54" s="39">
        <f t="shared" si="118"/>
        <v>0.40646497802255066</v>
      </c>
      <c r="CC54" s="39">
        <f t="shared" si="118"/>
        <v>0.40647073962099717</v>
      </c>
      <c r="CD54" s="39">
        <f t="shared" si="118"/>
        <v>0.40647169154566137</v>
      </c>
      <c r="CE54" s="39">
        <f t="shared" si="118"/>
        <v>0.40647184882198806</v>
      </c>
      <c r="CF54" s="39">
        <f t="shared" si="118"/>
        <v>0.40647187480708435</v>
      </c>
      <c r="CG54" s="39">
        <f t="shared" si="118"/>
        <v>0.40647187910032606</v>
      </c>
      <c r="CH54" s="39">
        <f t="shared" si="118"/>
        <v>0.40647187980965277</v>
      </c>
      <c r="CI54" s="39">
        <f t="shared" si="118"/>
        <v>0.4064718799268473</v>
      </c>
      <c r="CJ54" s="39">
        <f t="shared" si="118"/>
        <v>0.40647187994621015</v>
      </c>
      <c r="CK54" s="39">
        <f t="shared" si="118"/>
        <v>0.40647187994940925</v>
      </c>
      <c r="CL54" s="39">
        <f t="shared" si="118"/>
        <v>0.40647187994993778</v>
      </c>
      <c r="CM54" s="39">
        <f t="shared" si="118"/>
        <v>0.40647187995002515</v>
      </c>
      <c r="CN54" s="39">
        <f t="shared" si="118"/>
        <v>0.40647187995003953</v>
      </c>
      <c r="CO54" s="39">
        <f t="shared" si="118"/>
        <v>0.40647187995004191</v>
      </c>
      <c r="CP54" s="39">
        <f t="shared" si="118"/>
        <v>0.40647187995004236</v>
      </c>
      <c r="CQ54" s="39">
        <f t="shared" si="118"/>
        <v>0.40647187995004236</v>
      </c>
      <c r="CR54" s="39">
        <f t="shared" si="118"/>
        <v>0.40647187995004236</v>
      </c>
      <c r="CS54" s="39">
        <f t="shared" si="118"/>
        <v>0.40647187995004236</v>
      </c>
      <c r="CT54" s="39">
        <f t="shared" si="118"/>
        <v>0.40647187995004236</v>
      </c>
      <c r="CU54" s="39">
        <f t="shared" si="118"/>
        <v>0.40647187995004236</v>
      </c>
      <c r="CV54" s="39">
        <f t="shared" si="118"/>
        <v>0.40647187995004236</v>
      </c>
      <c r="CW54" s="39">
        <f t="shared" si="118"/>
        <v>0.40647187995004236</v>
      </c>
      <c r="CX54" s="39">
        <f t="shared" si="118"/>
        <v>0.40647187995004236</v>
      </c>
      <c r="CY54" s="37">
        <f t="shared" si="118"/>
        <v>0.40647187995004236</v>
      </c>
      <c r="CZ54" s="29">
        <f t="shared" si="71"/>
        <v>100</v>
      </c>
      <c r="DB54" s="34"/>
      <c r="DC54" s="41">
        <v>0.05</v>
      </c>
      <c r="DD54" s="37">
        <f t="shared" si="72"/>
        <v>300</v>
      </c>
      <c r="DE54" s="39">
        <f t="shared" si="73"/>
        <v>193.5116587911061</v>
      </c>
      <c r="DF54" s="39">
        <f t="shared" si="74"/>
        <v>175.93443023310996</v>
      </c>
      <c r="DG54" s="39">
        <f t="shared" si="75"/>
        <v>170.12045004001331</v>
      </c>
      <c r="DH54" s="39">
        <f t="shared" si="76"/>
        <v>166.14292166656932</v>
      </c>
      <c r="DI54" s="39">
        <f t="shared" si="77"/>
        <v>162.44974550360433</v>
      </c>
      <c r="DJ54" s="39">
        <f t="shared" si="78"/>
        <v>158.78851800762018</v>
      </c>
      <c r="DK54" s="39">
        <f t="shared" si="79"/>
        <v>155.11571670249759</v>
      </c>
      <c r="DL54" s="39">
        <f t="shared" si="80"/>
        <v>151.42172308610381</v>
      </c>
      <c r="DM54" s="39">
        <f t="shared" si="81"/>
        <v>147.70260658714804</v>
      </c>
      <c r="DN54" s="39">
        <f t="shared" si="82"/>
        <v>143.95559373996326</v>
      </c>
      <c r="DO54" s="39">
        <f t="shared" si="83"/>
        <v>140.17836019499083</v>
      </c>
      <c r="DP54" s="39">
        <f t="shared" si="84"/>
        <v>136.3689369862177</v>
      </c>
      <c r="DQ54" s="39">
        <f t="shared" si="85"/>
        <v>132.52571275422582</v>
      </c>
      <c r="DR54" s="39">
        <f t="shared" si="86"/>
        <v>128.64744810485703</v>
      </c>
      <c r="DS54" s="39">
        <f t="shared" si="87"/>
        <v>124.73328844207508</v>
      </c>
      <c r="DT54" s="39">
        <f t="shared" si="88"/>
        <v>120.78277296808255</v>
      </c>
      <c r="DU54" s="39">
        <f t="shared" si="89"/>
        <v>116.79583941398805</v>
      </c>
      <c r="DV54" s="39">
        <f t="shared" si="90"/>
        <v>112.77282440617523</v>
      </c>
      <c r="DW54" s="39">
        <f t="shared" si="91"/>
        <v>108.7144594690195</v>
      </c>
      <c r="DX54" s="39">
        <f t="shared" si="92"/>
        <v>104.62186271977045</v>
      </c>
      <c r="DY54" s="39">
        <f t="shared" si="93"/>
        <v>100.49652635900995</v>
      </c>
      <c r="DZ54" s="39">
        <f t="shared" si="94"/>
        <v>96.340300104979747</v>
      </c>
      <c r="EA54" s="39">
        <f t="shared" si="95"/>
        <v>92.155370762679283</v>
      </c>
      <c r="EB54" s="39">
        <f t="shared" si="96"/>
        <v>87.944238158719926</v>
      </c>
      <c r="EC54" s="39">
        <f t="shared" si="97"/>
        <v>83.709687710165511</v>
      </c>
      <c r="ED54" s="39">
        <f t="shared" si="98"/>
        <v>79.454759929701652</v>
      </c>
      <c r="EE54" s="39">
        <f t="shared" si="99"/>
        <v>75.182717200202077</v>
      </c>
      <c r="EF54" s="39">
        <f t="shared" si="100"/>
        <v>70.89700817888756</v>
      </c>
      <c r="EG54" s="39">
        <f t="shared" si="101"/>
        <v>66.601230214622731</v>
      </c>
      <c r="EH54" s="37">
        <f t="shared" si="102"/>
        <v>62.299090181326946</v>
      </c>
    </row>
    <row r="55" spans="5:138" x14ac:dyDescent="0.25">
      <c r="E55" s="32"/>
      <c r="F55" s="41">
        <v>4.6666666666666669E-2</v>
      </c>
      <c r="G55" s="33">
        <f t="shared" si="10"/>
        <v>300</v>
      </c>
      <c r="H55" s="35">
        <f t="shared" si="11"/>
        <v>293.91482018069809</v>
      </c>
      <c r="I55" s="35">
        <f t="shared" si="12"/>
        <v>287.82325800400292</v>
      </c>
      <c r="J55" s="35">
        <f t="shared" si="13"/>
        <v>281.7190015411627</v>
      </c>
      <c r="K55" s="35">
        <f t="shared" si="14"/>
        <v>275.59587892702251</v>
      </c>
      <c r="L55" s="35">
        <f t="shared" si="15"/>
        <v>269.44792641727832</v>
      </c>
      <c r="M55" s="35">
        <f t="shared" si="16"/>
        <v>263.26945410320394</v>
      </c>
      <c r="N55" s="35">
        <f t="shared" si="17"/>
        <v>257.05510854744261</v>
      </c>
      <c r="O55" s="35">
        <f t="shared" si="18"/>
        <v>250.79993164165953</v>
      </c>
      <c r="P55" s="35">
        <f t="shared" si="19"/>
        <v>244.49941503228894</v>
      </c>
      <c r="Q55" s="35">
        <f t="shared" si="20"/>
        <v>238.14954951359243</v>
      </c>
      <c r="R55" s="35">
        <f t="shared" si="21"/>
        <v>231.74686884700697</v>
      </c>
      <c r="S55" s="35">
        <f t="shared" si="22"/>
        <v>225.28848753143168</v>
      </c>
      <c r="T55" s="35">
        <f t="shared" si="23"/>
        <v>218.77213211976851</v>
      </c>
      <c r="U55" s="35">
        <f t="shared" si="24"/>
        <v>212.19616575171887</v>
      </c>
      <c r="V55" s="35">
        <f t="shared" si="25"/>
        <v>205.5596056505606</v>
      </c>
      <c r="W55" s="35">
        <f t="shared" si="26"/>
        <v>198.86213341138216</v>
      </c>
      <c r="X55" s="35">
        <f t="shared" si="27"/>
        <v>192.10409798904914</v>
      </c>
      <c r="Y55" s="35">
        <f t="shared" si="28"/>
        <v>185.28651137505904</v>
      </c>
      <c r="Z55" s="35">
        <f t="shared" si="29"/>
        <v>178.41103703248248</v>
      </c>
      <c r="AA55" s="35">
        <f t="shared" si="30"/>
        <v>171.47997123651791</v>
      </c>
      <c r="AB55" s="35">
        <f t="shared" si="31"/>
        <v>164.49621754399726</v>
      </c>
      <c r="AC55" s="35">
        <f t="shared" si="32"/>
        <v>157.46325468772324</v>
      </c>
      <c r="AD55" s="35">
        <f t="shared" si="33"/>
        <v>150.38509826012327</v>
      </c>
      <c r="AE55" s="35">
        <f t="shared" si="34"/>
        <v>143.26625661477183</v>
      </c>
      <c r="AF55" s="35">
        <f t="shared" si="35"/>
        <v>136.11168147333024</v>
      </c>
      <c r="AG55" s="35">
        <f t="shared" si="36"/>
        <v>128.92671377892717</v>
      </c>
      <c r="AH55" s="35">
        <f t="shared" si="37"/>
        <v>121.71702538456283</v>
      </c>
      <c r="AI55" s="35">
        <f t="shared" si="38"/>
        <v>114.48855720643928</v>
      </c>
      <c r="AJ55" s="35">
        <f t="shared" si="103"/>
        <v>107.24745450693086</v>
      </c>
      <c r="AK55" s="33">
        <f t="shared" si="39"/>
        <v>100</v>
      </c>
      <c r="AL55" s="34"/>
      <c r="AM55" s="30">
        <v>4.6666666666666669E-2</v>
      </c>
      <c r="AN55" s="37">
        <f t="shared" si="40"/>
        <v>-1076400000</v>
      </c>
      <c r="AO55" s="38">
        <f t="shared" si="104"/>
        <v>-1054592797.7679528</v>
      </c>
      <c r="AP55" s="38">
        <f t="shared" si="41"/>
        <v>-1032762404.0630032</v>
      </c>
      <c r="AQ55" s="38">
        <f t="shared" si="42"/>
        <v>-1010885883.3960737</v>
      </c>
      <c r="AR55" s="38">
        <f t="shared" si="43"/>
        <v>-988940809.3579576</v>
      </c>
      <c r="AS55" s="38">
        <f t="shared" si="44"/>
        <v>-966905511.9751215</v>
      </c>
      <c r="AT55" s="38">
        <f t="shared" si="45"/>
        <v>-944759316.54287958</v>
      </c>
      <c r="AU55" s="38">
        <f t="shared" si="46"/>
        <v>-922482771.25731361</v>
      </c>
      <c r="AV55" s="38">
        <f t="shared" si="47"/>
        <v>-900057861.103127</v>
      </c>
      <c r="AW55" s="38">
        <f t="shared" si="48"/>
        <v>-877468205.62046218</v>
      </c>
      <c r="AX55" s="38">
        <f t="shared" si="49"/>
        <v>-854699238.36702991</v>
      </c>
      <c r="AY55" s="38">
        <f t="shared" si="50"/>
        <v>-831738366.10987866</v>
      </c>
      <c r="AZ55" s="38">
        <f t="shared" si="51"/>
        <v>-808575106.02058101</v>
      </c>
      <c r="BA55" s="38">
        <f t="shared" si="52"/>
        <v>-785201199.40516984</v>
      </c>
      <c r="BB55" s="38">
        <f t="shared" si="53"/>
        <v>-761610700.77223706</v>
      </c>
      <c r="BC55" s="38">
        <f t="shared" si="54"/>
        <v>-737800041.32561493</v>
      </c>
      <c r="BD55" s="38">
        <f t="shared" si="55"/>
        <v>-713768066.25829947</v>
      </c>
      <c r="BE55" s="38">
        <f t="shared" si="56"/>
        <v>-689516045.51816869</v>
      </c>
      <c r="BF55" s="38">
        <f t="shared" si="57"/>
        <v>-665047658.01005995</v>
      </c>
      <c r="BG55" s="38">
        <f t="shared" si="58"/>
        <v>-640368949.4895736</v>
      </c>
      <c r="BH55" s="38">
        <f t="shared" si="59"/>
        <v>-615488264.68836832</v>
      </c>
      <c r="BI55" s="38">
        <f t="shared" si="60"/>
        <v>-590416154.48580134</v>
      </c>
      <c r="BJ55" s="38">
        <f t="shared" si="61"/>
        <v>-565165259.20484078</v>
      </c>
      <c r="BK55" s="38">
        <f t="shared" si="62"/>
        <v>-539750169.35881364</v>
      </c>
      <c r="BL55" s="38">
        <f t="shared" si="63"/>
        <v>-514187265.40761477</v>
      </c>
      <c r="BM55" s="38">
        <f t="shared" si="64"/>
        <v>-488494538.29556954</v>
      </c>
      <c r="BN55" s="38">
        <f t="shared" si="65"/>
        <v>-462691392.73663038</v>
      </c>
      <c r="BO55" s="38">
        <f t="shared" si="66"/>
        <v>-436798435.38457471</v>
      </c>
      <c r="BP55" s="38">
        <f t="shared" si="67"/>
        <v>-410837250.17523777</v>
      </c>
      <c r="BQ55" s="38">
        <f t="shared" si="68"/>
        <v>-384830163.2535969</v>
      </c>
      <c r="BR55" s="37">
        <f t="shared" si="69"/>
        <v>-358800000</v>
      </c>
      <c r="BT55" s="34"/>
      <c r="BU55" s="41">
        <v>4.6666666666666669E-2</v>
      </c>
      <c r="BV55" s="37">
        <v>0</v>
      </c>
      <c r="BW55" s="39">
        <f t="shared" ref="BW55:CY55" si="119">$B$20/($B$21-$B$22*BV55)</f>
        <v>0.34883720930232553</v>
      </c>
      <c r="BX55" s="39">
        <f t="shared" si="119"/>
        <v>0.39716748768472904</v>
      </c>
      <c r="BY55" s="39">
        <f t="shared" si="119"/>
        <v>0.40494040593779607</v>
      </c>
      <c r="BZ55" s="39">
        <f t="shared" si="119"/>
        <v>0.4062190081621499</v>
      </c>
      <c r="CA55" s="39">
        <f t="shared" si="119"/>
        <v>0.40643010492156101</v>
      </c>
      <c r="CB55" s="39">
        <f t="shared" si="119"/>
        <v>0.40646497802255066</v>
      </c>
      <c r="CC55" s="39">
        <f t="shared" si="119"/>
        <v>0.40647073962099717</v>
      </c>
      <c r="CD55" s="39">
        <f t="shared" si="119"/>
        <v>0.40647169154566137</v>
      </c>
      <c r="CE55" s="39">
        <f t="shared" si="119"/>
        <v>0.40647184882198806</v>
      </c>
      <c r="CF55" s="39">
        <f t="shared" si="119"/>
        <v>0.40647187480708435</v>
      </c>
      <c r="CG55" s="39">
        <f t="shared" si="119"/>
        <v>0.40647187910032606</v>
      </c>
      <c r="CH55" s="39">
        <f t="shared" si="119"/>
        <v>0.40647187980965277</v>
      </c>
      <c r="CI55" s="39">
        <f t="shared" si="119"/>
        <v>0.4064718799268473</v>
      </c>
      <c r="CJ55" s="39">
        <f t="shared" si="119"/>
        <v>0.40647187994621015</v>
      </c>
      <c r="CK55" s="39">
        <f t="shared" si="119"/>
        <v>0.40647187994940925</v>
      </c>
      <c r="CL55" s="39">
        <f t="shared" si="119"/>
        <v>0.40647187994993778</v>
      </c>
      <c r="CM55" s="39">
        <f t="shared" si="119"/>
        <v>0.40647187995002515</v>
      </c>
      <c r="CN55" s="39">
        <f t="shared" si="119"/>
        <v>0.40647187995003953</v>
      </c>
      <c r="CO55" s="39">
        <f t="shared" si="119"/>
        <v>0.40647187995004191</v>
      </c>
      <c r="CP55" s="39">
        <f t="shared" si="119"/>
        <v>0.40647187995004236</v>
      </c>
      <c r="CQ55" s="39">
        <f t="shared" si="119"/>
        <v>0.40647187995004236</v>
      </c>
      <c r="CR55" s="39">
        <f t="shared" si="119"/>
        <v>0.40647187995004236</v>
      </c>
      <c r="CS55" s="39">
        <f t="shared" si="119"/>
        <v>0.40647187995004236</v>
      </c>
      <c r="CT55" s="39">
        <f t="shared" si="119"/>
        <v>0.40647187995004236</v>
      </c>
      <c r="CU55" s="39">
        <f t="shared" si="119"/>
        <v>0.40647187995004236</v>
      </c>
      <c r="CV55" s="39">
        <f t="shared" si="119"/>
        <v>0.40647187995004236</v>
      </c>
      <c r="CW55" s="39">
        <f t="shared" si="119"/>
        <v>0.40647187995004236</v>
      </c>
      <c r="CX55" s="39">
        <f t="shared" si="119"/>
        <v>0.40647187995004236</v>
      </c>
      <c r="CY55" s="37">
        <f t="shared" si="119"/>
        <v>0.40647187995004236</v>
      </c>
      <c r="CZ55" s="29">
        <f t="shared" si="71"/>
        <v>100</v>
      </c>
      <c r="DB55" s="34"/>
      <c r="DC55" s="41">
        <v>4.6666666666666669E-2</v>
      </c>
      <c r="DD55" s="37">
        <f t="shared" si="72"/>
        <v>300</v>
      </c>
      <c r="DE55" s="39">
        <f t="shared" si="73"/>
        <v>193.51135808627848</v>
      </c>
      <c r="DF55" s="39">
        <f t="shared" si="74"/>
        <v>175.93362992884906</v>
      </c>
      <c r="DG55" s="39">
        <f t="shared" si="75"/>
        <v>170.11909445367053</v>
      </c>
      <c r="DH55" s="39">
        <f t="shared" si="76"/>
        <v>166.14100950644777</v>
      </c>
      <c r="DI55" s="39">
        <f t="shared" si="77"/>
        <v>162.44729456347105</v>
      </c>
      <c r="DJ55" s="39">
        <f t="shared" si="78"/>
        <v>158.78555505688331</v>
      </c>
      <c r="DK55" s="39">
        <f t="shared" si="79"/>
        <v>155.11227483616173</v>
      </c>
      <c r="DL55" s="39">
        <f t="shared" si="80"/>
        <v>151.41784083156034</v>
      </c>
      <c r="DM55" s="39">
        <f t="shared" si="81"/>
        <v>147.69832734537545</v>
      </c>
      <c r="DN55" s="39">
        <f t="shared" si="82"/>
        <v>143.95096525267803</v>
      </c>
      <c r="DO55" s="39">
        <f t="shared" si="83"/>
        <v>140.17343398043556</v>
      </c>
      <c r="DP55" s="39">
        <f t="shared" si="84"/>
        <v>136.36376773874366</v>
      </c>
      <c r="DQ55" s="39">
        <f t="shared" si="85"/>
        <v>132.52035771339845</v>
      </c>
      <c r="DR55" s="39">
        <f t="shared" si="86"/>
        <v>128.6419664019339</v>
      </c>
      <c r="DS55" s="39">
        <f t="shared" si="87"/>
        <v>124.72774043208587</v>
      </c>
      <c r="DT55" s="39">
        <f t="shared" si="88"/>
        <v>120.7772195556863</v>
      </c>
      <c r="DU55" s="39">
        <f t="shared" si="89"/>
        <v>116.79034138104718</v>
      </c>
      <c r="DV55" s="39">
        <f t="shared" si="90"/>
        <v>112.76744174862978</v>
      </c>
      <c r="DW55" s="39">
        <f t="shared" si="91"/>
        <v>108.70925075019593</v>
      </c>
      <c r="DX55" s="39">
        <f t="shared" si="92"/>
        <v>104.61688444673821</v>
      </c>
      <c r="DY55" s="39">
        <f t="shared" si="93"/>
        <v>100.49183238802608</v>
      </c>
      <c r="DZ55" s="39">
        <f t="shared" si="94"/>
        <v>96.335941081459097</v>
      </c>
      <c r="EA55" s="39">
        <f t="shared" si="95"/>
        <v>92.151393600511781</v>
      </c>
      <c r="EB55" s="39">
        <f t="shared" si="96"/>
        <v>87.940685563145948</v>
      </c>
      <c r="EC55" s="39">
        <f t="shared" si="97"/>
        <v>83.706597747828695</v>
      </c>
      <c r="ED55" s="39">
        <f t="shared" si="98"/>
        <v>79.452165648936884</v>
      </c>
      <c r="EE55" s="39">
        <f t="shared" si="99"/>
        <v>75.180646304093486</v>
      </c>
      <c r="EF55" s="39">
        <f t="shared" si="100"/>
        <v>70.895482753150461</v>
      </c>
      <c r="EG55" s="39">
        <f t="shared" si="101"/>
        <v>66.60026651192662</v>
      </c>
      <c r="EH55" s="37">
        <f t="shared" si="102"/>
        <v>62.298698463280353</v>
      </c>
    </row>
    <row r="56" spans="5:138" x14ac:dyDescent="0.25">
      <c r="E56" s="32"/>
      <c r="F56" s="41">
        <v>4.3333333333333335E-2</v>
      </c>
      <c r="G56" s="33">
        <f t="shared" si="10"/>
        <v>300</v>
      </c>
      <c r="H56" s="35">
        <f t="shared" si="11"/>
        <v>293.91385043676814</v>
      </c>
      <c r="I56" s="35">
        <f t="shared" si="12"/>
        <v>287.82132943519491</v>
      </c>
      <c r="J56" s="35">
        <f t="shared" si="13"/>
        <v>281.71613585304482</v>
      </c>
      <c r="K56" s="35">
        <f t="shared" si="14"/>
        <v>275.59210834862836</v>
      </c>
      <c r="L56" s="35">
        <f t="shared" si="15"/>
        <v>269.44329331153313</v>
      </c>
      <c r="M56" s="35">
        <f t="shared" si="16"/>
        <v>263.26401045670013</v>
      </c>
      <c r="N56" s="35">
        <f t="shared" si="17"/>
        <v>257.04891534718149</v>
      </c>
      <c r="O56" s="35">
        <f t="shared" si="18"/>
        <v>250.79305814794623</v>
      </c>
      <c r="P56" s="35">
        <f t="shared" si="19"/>
        <v>244.49193795833432</v>
      </c>
      <c r="Q56" s="35">
        <f t="shared" si="20"/>
        <v>238.14155212351153</v>
      </c>
      <c r="R56" s="35">
        <f t="shared" si="21"/>
        <v>231.73843998479242</v>
      </c>
      <c r="S56" s="35">
        <f t="shared" si="22"/>
        <v>225.27972059411306</v>
      </c>
      <c r="T56" s="35">
        <f t="shared" si="23"/>
        <v>218.7631239883442</v>
      </c>
      <c r="U56" s="35">
        <f t="shared" si="24"/>
        <v>212.18701569357034</v>
      </c>
      <c r="V56" s="35">
        <f t="shared" si="25"/>
        <v>205.55041420694667</v>
      </c>
      <c r="W56" s="35">
        <f t="shared" si="26"/>
        <v>198.85300128328009</v>
      </c>
      <c r="X56" s="35">
        <f t="shared" si="27"/>
        <v>192.09512493408883</v>
      </c>
      <c r="Y56" s="35">
        <f t="shared" si="28"/>
        <v>185.27779512761265</v>
      </c>
      <c r="Z56" s="35">
        <f t="shared" si="29"/>
        <v>178.40267225815833</v>
      </c>
      <c r="AA56" s="35">
        <f t="shared" si="30"/>
        <v>171.47204853139783</v>
      </c>
      <c r="AB56" s="35">
        <f t="shared" si="31"/>
        <v>164.48882248798321</v>
      </c>
      <c r="AC56" s="35">
        <f t="shared" si="32"/>
        <v>157.45646696035303</v>
      </c>
      <c r="AD56" s="35">
        <f t="shared" si="33"/>
        <v>150.37899082620717</v>
      </c>
      <c r="AE56" s="35">
        <f t="shared" si="34"/>
        <v>143.26089498621403</v>
      </c>
      <c r="AF56" s="35">
        <f t="shared" si="35"/>
        <v>136.10712305255385</v>
      </c>
      <c r="AG56" s="35">
        <f t="shared" si="36"/>
        <v>128.92300728843261</v>
      </c>
      <c r="AH56" s="35">
        <f t="shared" si="37"/>
        <v>121.71421038632596</v>
      </c>
      <c r="AI56" s="35">
        <f t="shared" ref="AI56:AI69" si="120">CX56*AJ56+EF56</f>
        <v>114.48666371410214</v>
      </c>
      <c r="AJ56" s="35">
        <f t="shared" si="103"/>
        <v>107.2465026930511</v>
      </c>
      <c r="AK56" s="33">
        <f t="shared" si="39"/>
        <v>100</v>
      </c>
      <c r="AL56" s="34"/>
      <c r="AM56" s="30">
        <v>4.3333333333333335E-2</v>
      </c>
      <c r="AN56" s="37">
        <f t="shared" si="40"/>
        <v>-1076400000</v>
      </c>
      <c r="AO56" s="38">
        <f t="shared" si="104"/>
        <v>-1054589273.1218573</v>
      </c>
      <c r="AP56" s="38">
        <f t="shared" si="41"/>
        <v>-1032755394.4970672</v>
      </c>
      <c r="AQ56" s="38">
        <f t="shared" si="42"/>
        <v>-1010875467.8789073</v>
      </c>
      <c r="AR56" s="38">
        <f t="shared" si="43"/>
        <v>-988927105.14016891</v>
      </c>
      <c r="AS56" s="38">
        <f t="shared" si="44"/>
        <v>-966888673.16721499</v>
      </c>
      <c r="AT56" s="38">
        <f t="shared" si="45"/>
        <v>-944739532.25303876</v>
      </c>
      <c r="AU56" s="38">
        <f t="shared" si="46"/>
        <v>-922460263.3171134</v>
      </c>
      <c r="AV56" s="38">
        <f t="shared" si="47"/>
        <v>-900032881.41499043</v>
      </c>
      <c r="AW56" s="38">
        <f t="shared" si="48"/>
        <v>-877441033.16567647</v>
      </c>
      <c r="AX56" s="38">
        <f t="shared" si="49"/>
        <v>-854670175.91729033</v>
      </c>
      <c r="AY56" s="38">
        <f t="shared" si="50"/>
        <v>-831707736.68855023</v>
      </c>
      <c r="AZ56" s="38">
        <f t="shared" si="51"/>
        <v>-808543249.16214836</v>
      </c>
      <c r="BA56" s="38">
        <f t="shared" si="52"/>
        <v>-785168467.26265991</v>
      </c>
      <c r="BB56" s="38">
        <f t="shared" si="53"/>
        <v>-761577454.12278891</v>
      </c>
      <c r="BC56" s="38">
        <f t="shared" si="54"/>
        <v>-737766645.52388227</v>
      </c>
      <c r="BD56" s="38">
        <f t="shared" si="55"/>
        <v>-713734887.18608117</v>
      </c>
      <c r="BE56" s="38">
        <f t="shared" si="56"/>
        <v>-689483445.57667029</v>
      </c>
      <c r="BF56" s="38">
        <f t="shared" si="57"/>
        <v>-665015992.19860387</v>
      </c>
      <c r="BG56" s="38">
        <f t="shared" si="58"/>
        <v>-640338561.61151969</v>
      </c>
      <c r="BH56" s="38">
        <f t="shared" si="59"/>
        <v>-615459483.72160351</v>
      </c>
      <c r="BI56" s="38">
        <f t="shared" si="60"/>
        <v>-590389291.15153623</v>
      </c>
      <c r="BJ56" s="38">
        <f t="shared" si="61"/>
        <v>-565140602.76472187</v>
      </c>
      <c r="BK56" s="38">
        <f t="shared" si="62"/>
        <v>-539727984.66663933</v>
      </c>
      <c r="BL56" s="38">
        <f t="shared" si="63"/>
        <v>-514167790.23831767</v>
      </c>
      <c r="BM56" s="38">
        <f t="shared" si="64"/>
        <v>-488477980.97067219</v>
      </c>
      <c r="BN56" s="38">
        <f t="shared" si="65"/>
        <v>-462677930.0621559</v>
      </c>
      <c r="BO56" s="38">
        <f t="shared" si="66"/>
        <v>-436788210.91442293</v>
      </c>
      <c r="BP56" s="38">
        <f t="shared" si="67"/>
        <v>-410830372.81034321</v>
      </c>
      <c r="BQ56" s="38">
        <f t="shared" si="68"/>
        <v>-384826706.18474764</v>
      </c>
      <c r="BR56" s="37">
        <f t="shared" si="69"/>
        <v>-358800000</v>
      </c>
      <c r="BT56" s="34"/>
      <c r="BU56" s="41">
        <v>4.3333333333333335E-2</v>
      </c>
      <c r="BV56" s="37">
        <v>0</v>
      </c>
      <c r="BW56" s="39">
        <f t="shared" ref="BW56:CY56" si="121">$B$20/($B$21-$B$22*BV56)</f>
        <v>0.34883720930232553</v>
      </c>
      <c r="BX56" s="39">
        <f t="shared" si="121"/>
        <v>0.39716748768472904</v>
      </c>
      <c r="BY56" s="39">
        <f t="shared" si="121"/>
        <v>0.40494040593779607</v>
      </c>
      <c r="BZ56" s="39">
        <f t="shared" si="121"/>
        <v>0.4062190081621499</v>
      </c>
      <c r="CA56" s="39">
        <f t="shared" si="121"/>
        <v>0.40643010492156101</v>
      </c>
      <c r="CB56" s="39">
        <f t="shared" si="121"/>
        <v>0.40646497802255066</v>
      </c>
      <c r="CC56" s="39">
        <f t="shared" si="121"/>
        <v>0.40647073962099717</v>
      </c>
      <c r="CD56" s="39">
        <f t="shared" si="121"/>
        <v>0.40647169154566137</v>
      </c>
      <c r="CE56" s="39">
        <f t="shared" si="121"/>
        <v>0.40647184882198806</v>
      </c>
      <c r="CF56" s="39">
        <f t="shared" si="121"/>
        <v>0.40647187480708435</v>
      </c>
      <c r="CG56" s="39">
        <f t="shared" si="121"/>
        <v>0.40647187910032606</v>
      </c>
      <c r="CH56" s="39">
        <f t="shared" si="121"/>
        <v>0.40647187980965277</v>
      </c>
      <c r="CI56" s="39">
        <f t="shared" si="121"/>
        <v>0.4064718799268473</v>
      </c>
      <c r="CJ56" s="39">
        <f t="shared" si="121"/>
        <v>0.40647187994621015</v>
      </c>
      <c r="CK56" s="39">
        <f t="shared" si="121"/>
        <v>0.40647187994940925</v>
      </c>
      <c r="CL56" s="39">
        <f t="shared" si="121"/>
        <v>0.40647187994993778</v>
      </c>
      <c r="CM56" s="39">
        <f t="shared" si="121"/>
        <v>0.40647187995002515</v>
      </c>
      <c r="CN56" s="39">
        <f t="shared" si="121"/>
        <v>0.40647187995003953</v>
      </c>
      <c r="CO56" s="39">
        <f t="shared" si="121"/>
        <v>0.40647187995004191</v>
      </c>
      <c r="CP56" s="39">
        <f t="shared" si="121"/>
        <v>0.40647187995004236</v>
      </c>
      <c r="CQ56" s="39">
        <f t="shared" si="121"/>
        <v>0.40647187995004236</v>
      </c>
      <c r="CR56" s="39">
        <f t="shared" si="121"/>
        <v>0.40647187995004236</v>
      </c>
      <c r="CS56" s="39">
        <f t="shared" si="121"/>
        <v>0.40647187995004236</v>
      </c>
      <c r="CT56" s="39">
        <f t="shared" si="121"/>
        <v>0.40647187995004236</v>
      </c>
      <c r="CU56" s="39">
        <f t="shared" si="121"/>
        <v>0.40647187995004236</v>
      </c>
      <c r="CV56" s="39">
        <f t="shared" si="121"/>
        <v>0.40647187995004236</v>
      </c>
      <c r="CW56" s="39">
        <f t="shared" si="121"/>
        <v>0.40647187995004236</v>
      </c>
      <c r="CX56" s="39">
        <f t="shared" si="121"/>
        <v>0.40647187995004236</v>
      </c>
      <c r="CY56" s="37">
        <f t="shared" si="121"/>
        <v>0.40647187995004236</v>
      </c>
      <c r="CZ56" s="29">
        <f t="shared" si="71"/>
        <v>100</v>
      </c>
      <c r="DB56" s="34"/>
      <c r="DC56" s="41">
        <v>4.3333333333333335E-2</v>
      </c>
      <c r="DD56" s="37">
        <f t="shared" si="72"/>
        <v>300</v>
      </c>
      <c r="DE56" s="39">
        <f t="shared" si="73"/>
        <v>193.51106109890947</v>
      </c>
      <c r="DF56" s="39">
        <f t="shared" si="74"/>
        <v>175.93283951819126</v>
      </c>
      <c r="DG56" s="39">
        <f t="shared" si="75"/>
        <v>170.11775562509817</v>
      </c>
      <c r="DH56" s="39">
        <f t="shared" si="76"/>
        <v>166.13912098367416</v>
      </c>
      <c r="DI56" s="39">
        <f t="shared" si="77"/>
        <v>162.44487391954553</v>
      </c>
      <c r="DJ56" s="39">
        <f t="shared" si="78"/>
        <v>158.78262872938754</v>
      </c>
      <c r="DK56" s="39">
        <f t="shared" si="79"/>
        <v>155.10887550997401</v>
      </c>
      <c r="DL56" s="39">
        <f t="shared" si="80"/>
        <v>151.41400655674516</v>
      </c>
      <c r="DM56" s="39">
        <f t="shared" si="81"/>
        <v>147.69410098535275</v>
      </c>
      <c r="DN56" s="39">
        <f t="shared" si="82"/>
        <v>143.94639395802398</v>
      </c>
      <c r="DO56" s="39">
        <f t="shared" si="83"/>
        <v>140.16856863170685</v>
      </c>
      <c r="DP56" s="39">
        <f t="shared" si="84"/>
        <v>136.35866235353865</v>
      </c>
      <c r="DQ56" s="39">
        <f t="shared" si="85"/>
        <v>132.5150688233112</v>
      </c>
      <c r="DR56" s="39">
        <f t="shared" si="86"/>
        <v>128.63655240715056</v>
      </c>
      <c r="DS56" s="39">
        <f t="shared" si="87"/>
        <v>124.72226094174952</v>
      </c>
      <c r="DT56" s="39">
        <f t="shared" si="88"/>
        <v>120.77173472210282</v>
      </c>
      <c r="DU56" s="39">
        <f t="shared" si="89"/>
        <v>116.78491123557251</v>
      </c>
      <c r="DV56" s="39">
        <f t="shared" si="90"/>
        <v>112.76212554672827</v>
      </c>
      <c r="DW56" s="39">
        <f t="shared" si="91"/>
        <v>108.70410633271624</v>
      </c>
      <c r="DX56" s="39">
        <f t="shared" si="92"/>
        <v>104.61196762393851</v>
      </c>
      <c r="DY56" s="39">
        <f t="shared" si="93"/>
        <v>100.48719635231677</v>
      </c>
      <c r="DZ56" s="39">
        <f t="shared" si="94"/>
        <v>96.33163585423442</v>
      </c>
      <c r="EA56" s="39">
        <f t="shared" si="95"/>
        <v>92.147465517835158</v>
      </c>
      <c r="EB56" s="39">
        <f t="shared" si="96"/>
        <v>87.937176804450715</v>
      </c>
      <c r="EC56" s="39">
        <f t="shared" si="97"/>
        <v>83.703545911211634</v>
      </c>
      <c r="ED56" s="39">
        <f t="shared" si="98"/>
        <v>79.449603376067728</v>
      </c>
      <c r="EE56" s="39">
        <f t="shared" si="99"/>
        <v>75.178600957246573</v>
      </c>
      <c r="EF56" s="39">
        <f t="shared" si="100"/>
        <v>70.893976146390372</v>
      </c>
      <c r="EG56" s="39">
        <f t="shared" si="101"/>
        <v>66.599314698046854</v>
      </c>
      <c r="EH56" s="37">
        <f t="shared" si="102"/>
        <v>62.298311577703267</v>
      </c>
    </row>
    <row r="57" spans="5:138" x14ac:dyDescent="0.25">
      <c r="E57" s="32"/>
      <c r="F57" s="41">
        <v>0.04</v>
      </c>
      <c r="G57" s="33">
        <f t="shared" si="10"/>
        <v>300</v>
      </c>
      <c r="H57" s="35">
        <f t="shared" si="11"/>
        <v>293.91290416716453</v>
      </c>
      <c r="I57" s="35">
        <f t="shared" si="12"/>
        <v>287.81944755033885</v>
      </c>
      <c r="J57" s="35">
        <f t="shared" si="13"/>
        <v>281.71333953233267</v>
      </c>
      <c r="K57" s="35">
        <f t="shared" si="14"/>
        <v>275.58842903985942</v>
      </c>
      <c r="L57" s="35">
        <f t="shared" si="15"/>
        <v>269.43877235082613</v>
      </c>
      <c r="M57" s="35">
        <f t="shared" si="16"/>
        <v>263.25869857069472</v>
      </c>
      <c r="N57" s="35">
        <f t="shared" si="17"/>
        <v>257.04287204495404</v>
      </c>
      <c r="O57" s="35">
        <f t="shared" si="18"/>
        <v>250.78635101160117</v>
      </c>
      <c r="P57" s="35">
        <f t="shared" si="19"/>
        <v>244.48464184256375</v>
      </c>
      <c r="Q57" s="35">
        <f t="shared" si="20"/>
        <v>238.1337482755257</v>
      </c>
      <c r="R57" s="35">
        <f t="shared" si="21"/>
        <v>231.73021509689033</v>
      </c>
      <c r="S57" s="35">
        <f t="shared" si="22"/>
        <v>225.27116580178034</v>
      </c>
      <c r="T57" s="35">
        <f t="shared" si="23"/>
        <v>218.75433382713115</v>
      </c>
      <c r="U57" s="35">
        <f t="shared" si="24"/>
        <v>212.17808702812562</v>
      </c>
      <c r="V57" s="35">
        <f t="shared" si="25"/>
        <v>205.54144514547181</v>
      </c>
      <c r="W57" s="35">
        <f t="shared" si="26"/>
        <v>198.84409009034957</v>
      </c>
      <c r="X57" s="35">
        <f t="shared" si="27"/>
        <v>192.08636895427173</v>
      </c>
      <c r="Y57" s="35">
        <f t="shared" si="28"/>
        <v>185.26928973166707</v>
      </c>
      <c r="Z57" s="35">
        <f t="shared" si="29"/>
        <v>178.39450982277597</v>
      </c>
      <c r="AA57" s="35">
        <f t="shared" si="30"/>
        <v>171.46431746259009</v>
      </c>
      <c r="AB57" s="35">
        <f t="shared" si="31"/>
        <v>164.48160629725029</v>
      </c>
      <c r="AC57" s="35">
        <f t="shared" si="32"/>
        <v>157.44984340179789</v>
      </c>
      <c r="AD57" s="35">
        <f t="shared" si="33"/>
        <v>150.37303110177152</v>
      </c>
      <c r="AE57" s="35">
        <f t="shared" si="34"/>
        <v>143.25566302525152</v>
      </c>
      <c r="AF57" s="35">
        <f t="shared" si="35"/>
        <v>136.10267487103275</v>
      </c>
      <c r="AG57" s="35">
        <f t="shared" si="36"/>
        <v>128.91939043219239</v>
      </c>
      <c r="AH57" s="35">
        <f t="shared" si="37"/>
        <v>121.71146346200956</v>
      </c>
      <c r="AI57" s="35">
        <f t="shared" si="120"/>
        <v>114.48481601064881</v>
      </c>
      <c r="AJ57" s="35">
        <f t="shared" si="103"/>
        <v>107.24557389596541</v>
      </c>
      <c r="AK57" s="33">
        <f t="shared" si="39"/>
        <v>100</v>
      </c>
      <c r="AL57" s="34"/>
      <c r="AM57" s="30">
        <v>0.04</v>
      </c>
      <c r="AN57" s="37">
        <f t="shared" si="40"/>
        <v>-1076400000</v>
      </c>
      <c r="AO57" s="38">
        <f t="shared" si="104"/>
        <v>-1054585833.7975059</v>
      </c>
      <c r="AP57" s="38">
        <f t="shared" si="41"/>
        <v>-1032748554.6115034</v>
      </c>
      <c r="AQ57" s="38">
        <f t="shared" si="42"/>
        <v>-1010865304.4863027</v>
      </c>
      <c r="AR57" s="38">
        <f t="shared" si="43"/>
        <v>-988913732.64877474</v>
      </c>
      <c r="AS57" s="38">
        <f t="shared" si="44"/>
        <v>-966872241.95191002</v>
      </c>
      <c r="AT57" s="38">
        <f t="shared" si="45"/>
        <v>-944720226.83847463</v>
      </c>
      <c r="AU57" s="38">
        <f t="shared" si="46"/>
        <v>-922438300.15880942</v>
      </c>
      <c r="AV57" s="38">
        <f t="shared" si="47"/>
        <v>-900008506.31135917</v>
      </c>
      <c r="AW57" s="38">
        <f t="shared" si="48"/>
        <v>-877414518.33884144</v>
      </c>
      <c r="AX57" s="38">
        <f t="shared" si="49"/>
        <v>-854641816.80459917</v>
      </c>
      <c r="AY57" s="38">
        <f t="shared" si="50"/>
        <v>-831677848.48984706</v>
      </c>
      <c r="AZ57" s="38">
        <f t="shared" si="51"/>
        <v>-808512163.19008029</v>
      </c>
      <c r="BA57" s="38">
        <f t="shared" si="52"/>
        <v>-785136527.14458215</v>
      </c>
      <c r="BB57" s="38">
        <f t="shared" si="53"/>
        <v>-761545011.90321863</v>
      </c>
      <c r="BC57" s="38">
        <f t="shared" si="54"/>
        <v>-737734057.71597242</v>
      </c>
      <c r="BD57" s="38">
        <f t="shared" si="55"/>
        <v>-713702510.81933045</v>
      </c>
      <c r="BE57" s="38">
        <f t="shared" si="56"/>
        <v>-689451634.28614819</v>
      </c>
      <c r="BF57" s="38">
        <f t="shared" si="57"/>
        <v>-664985092.39844751</v>
      </c>
      <c r="BG57" s="38">
        <f t="shared" si="58"/>
        <v>-640308908.79248059</v>
      </c>
      <c r="BH57" s="38">
        <f t="shared" si="59"/>
        <v>-615431398.90911031</v>
      </c>
      <c r="BI57" s="38">
        <f t="shared" si="60"/>
        <v>-590363077.55720043</v>
      </c>
      <c r="BJ57" s="38">
        <f t="shared" si="61"/>
        <v>-565116542.66058731</v>
      </c>
      <c r="BK57" s="38">
        <f t="shared" si="62"/>
        <v>-539706336.5078398</v>
      </c>
      <c r="BL57" s="38">
        <f t="shared" si="63"/>
        <v>-514148786.05627567</v>
      </c>
      <c r="BM57" s="38">
        <f t="shared" si="64"/>
        <v>-488461824.05559897</v>
      </c>
      <c r="BN57" s="38">
        <f t="shared" si="65"/>
        <v>-462664792.95046425</v>
      </c>
      <c r="BO57" s="38">
        <f t="shared" si="66"/>
        <v>-436778233.69376695</v>
      </c>
      <c r="BP57" s="38">
        <f t="shared" si="67"/>
        <v>-410823661.75236398</v>
      </c>
      <c r="BQ57" s="38">
        <f t="shared" si="68"/>
        <v>-384823332.71323138</v>
      </c>
      <c r="BR57" s="37">
        <f t="shared" si="69"/>
        <v>-358800000</v>
      </c>
      <c r="BT57" s="34"/>
      <c r="BU57" s="41">
        <v>0.04</v>
      </c>
      <c r="BV57" s="37">
        <v>0</v>
      </c>
      <c r="BW57" s="39">
        <f t="shared" ref="BW57:CY57" si="122">$B$20/($B$21-$B$22*BV57)</f>
        <v>0.34883720930232553</v>
      </c>
      <c r="BX57" s="39">
        <f t="shared" si="122"/>
        <v>0.39716748768472904</v>
      </c>
      <c r="BY57" s="39">
        <f t="shared" si="122"/>
        <v>0.40494040593779607</v>
      </c>
      <c r="BZ57" s="39">
        <f t="shared" si="122"/>
        <v>0.4062190081621499</v>
      </c>
      <c r="CA57" s="39">
        <f t="shared" si="122"/>
        <v>0.40643010492156101</v>
      </c>
      <c r="CB57" s="39">
        <f t="shared" si="122"/>
        <v>0.40646497802255066</v>
      </c>
      <c r="CC57" s="39">
        <f t="shared" si="122"/>
        <v>0.40647073962099717</v>
      </c>
      <c r="CD57" s="39">
        <f t="shared" si="122"/>
        <v>0.40647169154566137</v>
      </c>
      <c r="CE57" s="39">
        <f t="shared" si="122"/>
        <v>0.40647184882198806</v>
      </c>
      <c r="CF57" s="39">
        <f t="shared" si="122"/>
        <v>0.40647187480708435</v>
      </c>
      <c r="CG57" s="39">
        <f t="shared" si="122"/>
        <v>0.40647187910032606</v>
      </c>
      <c r="CH57" s="39">
        <f t="shared" si="122"/>
        <v>0.40647187980965277</v>
      </c>
      <c r="CI57" s="39">
        <f t="shared" si="122"/>
        <v>0.4064718799268473</v>
      </c>
      <c r="CJ57" s="39">
        <f t="shared" si="122"/>
        <v>0.40647187994621015</v>
      </c>
      <c r="CK57" s="39">
        <f t="shared" si="122"/>
        <v>0.40647187994940925</v>
      </c>
      <c r="CL57" s="39">
        <f t="shared" si="122"/>
        <v>0.40647187994993778</v>
      </c>
      <c r="CM57" s="39">
        <f t="shared" si="122"/>
        <v>0.40647187995002515</v>
      </c>
      <c r="CN57" s="39">
        <f t="shared" si="122"/>
        <v>0.40647187995003953</v>
      </c>
      <c r="CO57" s="39">
        <f t="shared" si="122"/>
        <v>0.40647187995004191</v>
      </c>
      <c r="CP57" s="39">
        <f t="shared" si="122"/>
        <v>0.40647187995004236</v>
      </c>
      <c r="CQ57" s="39">
        <f t="shared" si="122"/>
        <v>0.40647187995004236</v>
      </c>
      <c r="CR57" s="39">
        <f t="shared" si="122"/>
        <v>0.40647187995004236</v>
      </c>
      <c r="CS57" s="39">
        <f t="shared" si="122"/>
        <v>0.40647187995004236</v>
      </c>
      <c r="CT57" s="39">
        <f t="shared" si="122"/>
        <v>0.40647187995004236</v>
      </c>
      <c r="CU57" s="39">
        <f t="shared" si="122"/>
        <v>0.40647187995004236</v>
      </c>
      <c r="CV57" s="39">
        <f t="shared" si="122"/>
        <v>0.40647187995004236</v>
      </c>
      <c r="CW57" s="39">
        <f t="shared" si="122"/>
        <v>0.40647187995004236</v>
      </c>
      <c r="CX57" s="39">
        <f t="shared" si="122"/>
        <v>0.40647187995004236</v>
      </c>
      <c r="CY57" s="37">
        <f t="shared" si="122"/>
        <v>0.40647187995004236</v>
      </c>
      <c r="CZ57" s="29">
        <f t="shared" si="71"/>
        <v>100</v>
      </c>
      <c r="DB57" s="34"/>
      <c r="DC57" s="41">
        <v>0.04</v>
      </c>
      <c r="DD57" s="37">
        <f t="shared" si="72"/>
        <v>300</v>
      </c>
      <c r="DE57" s="39">
        <f t="shared" si="73"/>
        <v>193.51077130076726</v>
      </c>
      <c r="DF57" s="39">
        <f t="shared" si="74"/>
        <v>175.93206824100724</v>
      </c>
      <c r="DG57" s="39">
        <f t="shared" si="75"/>
        <v>170.11644920517247</v>
      </c>
      <c r="DH57" s="39">
        <f t="shared" si="76"/>
        <v>166.13727817507956</v>
      </c>
      <c r="DI57" s="39">
        <f t="shared" si="77"/>
        <v>162.44251186922506</v>
      </c>
      <c r="DJ57" s="39">
        <f t="shared" si="78"/>
        <v>158.77977323408916</v>
      </c>
      <c r="DK57" s="39">
        <f t="shared" si="79"/>
        <v>155.10555846241752</v>
      </c>
      <c r="DL57" s="39">
        <f t="shared" si="80"/>
        <v>151.4102650849191</v>
      </c>
      <c r="DM57" s="39">
        <f t="shared" si="81"/>
        <v>147.68997691410092</v>
      </c>
      <c r="DN57" s="39">
        <f t="shared" si="82"/>
        <v>143.94193329564376</v>
      </c>
      <c r="DO57" s="39">
        <f t="shared" si="83"/>
        <v>140.16382102631957</v>
      </c>
      <c r="DP57" s="39">
        <f t="shared" si="84"/>
        <v>136.35368051455802</v>
      </c>
      <c r="DQ57" s="39">
        <f t="shared" si="85"/>
        <v>132.50990791352672</v>
      </c>
      <c r="DR57" s="39">
        <f t="shared" si="86"/>
        <v>128.63126941298486</v>
      </c>
      <c r="DS57" s="39">
        <f t="shared" si="87"/>
        <v>124.71691402961774</v>
      </c>
      <c r="DT57" s="39">
        <f t="shared" si="88"/>
        <v>120.76638258874937</v>
      </c>
      <c r="DU57" s="39">
        <f t="shared" si="89"/>
        <v>116.77961246003512</v>
      </c>
      <c r="DV57" s="39">
        <f t="shared" si="90"/>
        <v>112.75693795123755</v>
      </c>
      <c r="DW57" s="39">
        <f t="shared" si="91"/>
        <v>108.69908635940618</v>
      </c>
      <c r="DX57" s="39">
        <f t="shared" si="92"/>
        <v>104.60716973374403</v>
      </c>
      <c r="DY57" s="39">
        <f t="shared" si="93"/>
        <v>100.48267245188174</v>
      </c>
      <c r="DZ57" s="39">
        <f t="shared" si="94"/>
        <v>96.327434756074638</v>
      </c>
      <c r="EA57" s="39">
        <f t="shared" si="95"/>
        <v>92.143632438407749</v>
      </c>
      <c r="EB57" s="39">
        <f t="shared" si="96"/>
        <v>87.933752904193454</v>
      </c>
      <c r="EC57" s="39">
        <f t="shared" si="97"/>
        <v>83.700567880046009</v>
      </c>
      <c r="ED57" s="39">
        <f t="shared" si="98"/>
        <v>79.44710306731848</v>
      </c>
      <c r="EE57" s="39">
        <f t="shared" si="99"/>
        <v>75.176605072426426</v>
      </c>
      <c r="EF57" s="39">
        <f t="shared" si="100"/>
        <v>70.89250597283457</v>
      </c>
      <c r="EG57" s="39">
        <f t="shared" si="101"/>
        <v>66.598385900961162</v>
      </c>
      <c r="EH57" s="37">
        <f t="shared" si="102"/>
        <v>62.297934047805761</v>
      </c>
    </row>
    <row r="58" spans="5:138" x14ac:dyDescent="0.25">
      <c r="E58" s="32"/>
      <c r="F58" s="41">
        <v>3.6666666666666667E-2</v>
      </c>
      <c r="G58" s="33">
        <f t="shared" si="10"/>
        <v>300</v>
      </c>
      <c r="H58" s="35">
        <f t="shared" si="11"/>
        <v>293.91199241270164</v>
      </c>
      <c r="I58" s="35">
        <f t="shared" si="12"/>
        <v>287.81763430678586</v>
      </c>
      <c r="J58" s="35">
        <f t="shared" si="13"/>
        <v>281.71064520586521</v>
      </c>
      <c r="K58" s="35">
        <f t="shared" si="14"/>
        <v>275.58488393021389</v>
      </c>
      <c r="L58" s="35">
        <f t="shared" si="15"/>
        <v>269.43441628513511</v>
      </c>
      <c r="M58" s="35">
        <f t="shared" si="16"/>
        <v>263.25358042391633</v>
      </c>
      <c r="N58" s="35">
        <f t="shared" si="17"/>
        <v>257.03704915404916</v>
      </c>
      <c r="O58" s="35">
        <f t="shared" si="18"/>
        <v>250.77988849208927</v>
      </c>
      <c r="P58" s="35">
        <f t="shared" si="19"/>
        <v>244.47761181737118</v>
      </c>
      <c r="Q58" s="35">
        <f t="shared" si="20"/>
        <v>238.12622902710788</v>
      </c>
      <c r="R58" s="35">
        <f t="shared" si="21"/>
        <v>231.72229015444603</v>
      </c>
      <c r="S58" s="35">
        <f t="shared" si="22"/>
        <v>225.26292297597018</v>
      </c>
      <c r="T58" s="35">
        <f t="shared" si="23"/>
        <v>218.74586420506708</v>
      </c>
      <c r="U58" s="35">
        <f t="shared" si="24"/>
        <v>212.16948394151498</v>
      </c>
      <c r="V58" s="35">
        <f t="shared" si="25"/>
        <v>205.53280312469565</v>
      </c>
      <c r="W58" s="35">
        <f t="shared" si="26"/>
        <v>198.83550381694528</v>
      </c>
      <c r="X58" s="35">
        <f t="shared" si="27"/>
        <v>192.07793222380278</v>
      </c>
      <c r="Y58" s="35">
        <f t="shared" si="28"/>
        <v>185.2610944383207</v>
      </c>
      <c r="Z58" s="35">
        <f t="shared" si="29"/>
        <v>178.38664497626786</v>
      </c>
      <c r="AA58" s="35">
        <f t="shared" si="30"/>
        <v>171.45686824710066</v>
      </c>
      <c r="AB58" s="35">
        <f t="shared" si="31"/>
        <v>164.47465318120376</v>
      </c>
      <c r="AC58" s="35">
        <f t="shared" si="32"/>
        <v>157.44346130635131</v>
      </c>
      <c r="AD58" s="35">
        <f t="shared" si="33"/>
        <v>150.36728863493374</v>
      </c>
      <c r="AE58" s="35">
        <f t="shared" si="34"/>
        <v>143.25062178762431</v>
      </c>
      <c r="AF58" s="35">
        <f t="shared" si="35"/>
        <v>136.09838883827769</v>
      </c>
      <c r="AG58" s="35">
        <f t="shared" si="36"/>
        <v>128.91590541849172</v>
      </c>
      <c r="AH58" s="35">
        <f t="shared" si="37"/>
        <v>121.70881666801415</v>
      </c>
      <c r="AI58" s="35">
        <f t="shared" si="120"/>
        <v>114.48303565869739</v>
      </c>
      <c r="AJ58" s="35">
        <f t="shared" si="103"/>
        <v>107.24467895471241</v>
      </c>
      <c r="AK58" s="33">
        <f t="shared" si="39"/>
        <v>100</v>
      </c>
      <c r="AL58" s="34"/>
      <c r="AM58" s="30">
        <v>3.6666666666666667E-2</v>
      </c>
      <c r="AN58" s="37">
        <f t="shared" si="40"/>
        <v>-1076400000</v>
      </c>
      <c r="AO58" s="38">
        <f t="shared" si="104"/>
        <v>-1054582519.9238499</v>
      </c>
      <c r="AP58" s="38">
        <f t="shared" si="41"/>
        <v>-1032741964.2120678</v>
      </c>
      <c r="AQ58" s="38">
        <f t="shared" si="42"/>
        <v>-1010855511.8020289</v>
      </c>
      <c r="AR58" s="38">
        <f t="shared" si="43"/>
        <v>-988900847.91103768</v>
      </c>
      <c r="AS58" s="38">
        <f t="shared" si="44"/>
        <v>-966856410.04588437</v>
      </c>
      <c r="AT58" s="38">
        <f t="shared" si="45"/>
        <v>-944701625.55281568</v>
      </c>
      <c r="AU58" s="38">
        <f t="shared" si="46"/>
        <v>-922417138.04799199</v>
      </c>
      <c r="AV58" s="38">
        <f t="shared" si="47"/>
        <v>-899985020.20243561</v>
      </c>
      <c r="AW58" s="38">
        <f t="shared" si="48"/>
        <v>-877388970.51908469</v>
      </c>
      <c r="AX58" s="38">
        <f t="shared" si="49"/>
        <v>-854614491.93039334</v>
      </c>
      <c r="AY58" s="38">
        <f t="shared" si="50"/>
        <v>-831649050.26022208</v>
      </c>
      <c r="AZ58" s="38">
        <f t="shared" si="51"/>
        <v>-808482210.83043015</v>
      </c>
      <c r="BA58" s="38">
        <f t="shared" si="52"/>
        <v>-785105751.74734759</v>
      </c>
      <c r="BB58" s="38">
        <f t="shared" si="53"/>
        <v>-761513752.67268217</v>
      </c>
      <c r="BC58" s="38">
        <f t="shared" si="54"/>
        <v>-737702658.16386235</v>
      </c>
      <c r="BD58" s="38">
        <f t="shared" si="55"/>
        <v>-713671314.95672309</v>
      </c>
      <c r="BE58" s="38">
        <f t="shared" si="56"/>
        <v>-689420982.85529017</v>
      </c>
      <c r="BF58" s="38">
        <f t="shared" si="57"/>
        <v>-664955319.18569767</v>
      </c>
      <c r="BG58" s="38">
        <f t="shared" si="58"/>
        <v>-640280337.06070268</v>
      </c>
      <c r="BH58" s="38">
        <f t="shared" si="59"/>
        <v>-615404337.98465812</v>
      </c>
      <c r="BI58" s="38">
        <f t="shared" si="60"/>
        <v>-590337819.60323524</v>
      </c>
      <c r="BJ58" s="38">
        <f t="shared" si="61"/>
        <v>-565093359.66496837</v>
      </c>
      <c r="BK58" s="38">
        <f t="shared" si="62"/>
        <v>-539685477.51033473</v>
      </c>
      <c r="BL58" s="38">
        <f t="shared" si="63"/>
        <v>-514130474.63643014</v>
      </c>
      <c r="BM58" s="38">
        <f t="shared" si="64"/>
        <v>-488446256.09935933</v>
      </c>
      <c r="BN58" s="38">
        <f t="shared" si="65"/>
        <v>-462652134.71061146</v>
      </c>
      <c r="BO58" s="38">
        <f t="shared" si="66"/>
        <v>-436768620.15642905</v>
      </c>
      <c r="BP58" s="38">
        <f t="shared" si="67"/>
        <v>-410817195.31933278</v>
      </c>
      <c r="BQ58" s="38">
        <f t="shared" si="68"/>
        <v>-384820082.20751977</v>
      </c>
      <c r="BR58" s="37">
        <f t="shared" si="69"/>
        <v>-358800000</v>
      </c>
      <c r="BT58" s="34"/>
      <c r="BU58" s="41">
        <v>3.6666666666666667E-2</v>
      </c>
      <c r="BV58" s="37">
        <v>0</v>
      </c>
      <c r="BW58" s="39">
        <f t="shared" ref="BW58:CY58" si="123">$B$20/($B$21-$B$22*BV58)</f>
        <v>0.34883720930232553</v>
      </c>
      <c r="BX58" s="39">
        <f t="shared" si="123"/>
        <v>0.39716748768472904</v>
      </c>
      <c r="BY58" s="39">
        <f t="shared" si="123"/>
        <v>0.40494040593779607</v>
      </c>
      <c r="BZ58" s="39">
        <f t="shared" si="123"/>
        <v>0.4062190081621499</v>
      </c>
      <c r="CA58" s="39">
        <f t="shared" si="123"/>
        <v>0.40643010492156101</v>
      </c>
      <c r="CB58" s="39">
        <f t="shared" si="123"/>
        <v>0.40646497802255066</v>
      </c>
      <c r="CC58" s="39">
        <f t="shared" si="123"/>
        <v>0.40647073962099717</v>
      </c>
      <c r="CD58" s="39">
        <f t="shared" si="123"/>
        <v>0.40647169154566137</v>
      </c>
      <c r="CE58" s="39">
        <f t="shared" si="123"/>
        <v>0.40647184882198806</v>
      </c>
      <c r="CF58" s="39">
        <f t="shared" si="123"/>
        <v>0.40647187480708435</v>
      </c>
      <c r="CG58" s="39">
        <f t="shared" si="123"/>
        <v>0.40647187910032606</v>
      </c>
      <c r="CH58" s="39">
        <f t="shared" si="123"/>
        <v>0.40647187980965277</v>
      </c>
      <c r="CI58" s="39">
        <f t="shared" si="123"/>
        <v>0.4064718799268473</v>
      </c>
      <c r="CJ58" s="39">
        <f t="shared" si="123"/>
        <v>0.40647187994621015</v>
      </c>
      <c r="CK58" s="39">
        <f t="shared" si="123"/>
        <v>0.40647187994940925</v>
      </c>
      <c r="CL58" s="39">
        <f t="shared" si="123"/>
        <v>0.40647187994993778</v>
      </c>
      <c r="CM58" s="39">
        <f t="shared" si="123"/>
        <v>0.40647187995002515</v>
      </c>
      <c r="CN58" s="39">
        <f t="shared" si="123"/>
        <v>0.40647187995003953</v>
      </c>
      <c r="CO58" s="39">
        <f t="shared" si="123"/>
        <v>0.40647187995004191</v>
      </c>
      <c r="CP58" s="39">
        <f t="shared" si="123"/>
        <v>0.40647187995004236</v>
      </c>
      <c r="CQ58" s="39">
        <f t="shared" si="123"/>
        <v>0.40647187995004236</v>
      </c>
      <c r="CR58" s="39">
        <f t="shared" si="123"/>
        <v>0.40647187995004236</v>
      </c>
      <c r="CS58" s="39">
        <f t="shared" si="123"/>
        <v>0.40647187995004236</v>
      </c>
      <c r="CT58" s="39">
        <f t="shared" si="123"/>
        <v>0.40647187995004236</v>
      </c>
      <c r="CU58" s="39">
        <f t="shared" si="123"/>
        <v>0.40647187995004236</v>
      </c>
      <c r="CV58" s="39">
        <f t="shared" si="123"/>
        <v>0.40647187995004236</v>
      </c>
      <c r="CW58" s="39">
        <f t="shared" si="123"/>
        <v>0.40647187995004236</v>
      </c>
      <c r="CX58" s="39">
        <f t="shared" si="123"/>
        <v>0.40647187995004236</v>
      </c>
      <c r="CY58" s="37">
        <f t="shared" si="123"/>
        <v>0.40647187995004236</v>
      </c>
      <c r="CZ58" s="29">
        <f t="shared" si="71"/>
        <v>100</v>
      </c>
      <c r="DB58" s="34"/>
      <c r="DC58" s="41">
        <v>3.6666666666666667E-2</v>
      </c>
      <c r="DD58" s="37">
        <f t="shared" si="72"/>
        <v>300</v>
      </c>
      <c r="DE58" s="39">
        <f t="shared" si="73"/>
        <v>193.51049207312519</v>
      </c>
      <c r="DF58" s="39">
        <f t="shared" si="74"/>
        <v>175.93132509632832</v>
      </c>
      <c r="DG58" s="39">
        <f t="shared" si="75"/>
        <v>170.11519043684396</v>
      </c>
      <c r="DH58" s="39">
        <f t="shared" si="76"/>
        <v>166.13550258211851</v>
      </c>
      <c r="DI58" s="39">
        <f t="shared" si="77"/>
        <v>162.44023597246618</v>
      </c>
      <c r="DJ58" s="39">
        <f t="shared" si="78"/>
        <v>158.77702188853445</v>
      </c>
      <c r="DK58" s="39">
        <f t="shared" si="79"/>
        <v>155.10236239659844</v>
      </c>
      <c r="DL58" s="39">
        <f t="shared" si="80"/>
        <v>151.40666007163884</v>
      </c>
      <c r="DM58" s="39">
        <f t="shared" si="81"/>
        <v>147.68600325171448</v>
      </c>
      <c r="DN58" s="39">
        <f t="shared" si="82"/>
        <v>143.93763531343902</v>
      </c>
      <c r="DO58" s="39">
        <f t="shared" si="83"/>
        <v>140.15924656077141</v>
      </c>
      <c r="DP58" s="39">
        <f t="shared" si="84"/>
        <v>136.34888035194953</v>
      </c>
      <c r="DQ58" s="39">
        <f t="shared" si="85"/>
        <v>132.50493520425044</v>
      </c>
      <c r="DR58" s="39">
        <f t="shared" si="86"/>
        <v>128.62617906480565</v>
      </c>
      <c r="DS58" s="39">
        <f t="shared" si="87"/>
        <v>124.71176208753396</v>
      </c>
      <c r="DT58" s="39">
        <f t="shared" si="88"/>
        <v>120.76122560903941</v>
      </c>
      <c r="DU58" s="39">
        <f t="shared" si="89"/>
        <v>116.77450688585941</v>
      </c>
      <c r="DV58" s="39">
        <f t="shared" si="90"/>
        <v>112.75193949683681</v>
      </c>
      <c r="DW58" s="39">
        <f t="shared" si="91"/>
        <v>108.6942494095222</v>
      </c>
      <c r="DX58" s="39">
        <f t="shared" si="92"/>
        <v>104.60254676440556</v>
      </c>
      <c r="DY58" s="39">
        <f t="shared" si="93"/>
        <v>100.4783134781694</v>
      </c>
      <c r="DZ58" s="39">
        <f t="shared" si="94"/>
        <v>96.323386811919164</v>
      </c>
      <c r="EA58" s="39">
        <f t="shared" si="95"/>
        <v>92.139939092905593</v>
      </c>
      <c r="EB58" s="39">
        <f t="shared" si="96"/>
        <v>87.930453818357719</v>
      </c>
      <c r="EC58" s="39">
        <f t="shared" si="97"/>
        <v>83.6976984073615</v>
      </c>
      <c r="ED58" s="39">
        <f t="shared" si="98"/>
        <v>79.444693900948948</v>
      </c>
      <c r="EE58" s="39">
        <f t="shared" si="99"/>
        <v>75.174681941435679</v>
      </c>
      <c r="EF58" s="39">
        <f t="shared" si="100"/>
        <v>70.891089389336685</v>
      </c>
      <c r="EG58" s="39">
        <f t="shared" si="101"/>
        <v>66.597490959708168</v>
      </c>
      <c r="EH58" s="37">
        <f t="shared" si="102"/>
        <v>62.297570279352215</v>
      </c>
    </row>
    <row r="59" spans="5:138" x14ac:dyDescent="0.25">
      <c r="E59" s="32"/>
      <c r="F59" s="41">
        <v>3.3333333333333333E-2</v>
      </c>
      <c r="G59" s="33">
        <f t="shared" si="10"/>
        <v>300</v>
      </c>
      <c r="H59" s="35">
        <f t="shared" si="11"/>
        <v>293.91112579177792</v>
      </c>
      <c r="I59" s="35">
        <f t="shared" si="12"/>
        <v>287.81591082182672</v>
      </c>
      <c r="J59" s="35">
        <f t="shared" si="13"/>
        <v>281.7080842522621</v>
      </c>
      <c r="K59" s="35">
        <f t="shared" si="14"/>
        <v>275.58151430689338</v>
      </c>
      <c r="L59" s="35">
        <f t="shared" si="15"/>
        <v>269.43027584657085</v>
      </c>
      <c r="M59" s="35">
        <f t="shared" si="16"/>
        <v>263.24871562436249</v>
      </c>
      <c r="N59" s="35">
        <f t="shared" si="17"/>
        <v>257.03151449079127</v>
      </c>
      <c r="O59" s="35">
        <f t="shared" si="18"/>
        <v>250.77374585591281</v>
      </c>
      <c r="P59" s="35">
        <f t="shared" si="19"/>
        <v>244.47092975966763</v>
      </c>
      <c r="Q59" s="35">
        <f t="shared" si="20"/>
        <v>238.11908195405169</v>
      </c>
      <c r="R59" s="35">
        <f t="shared" si="21"/>
        <v>231.71475745947185</v>
      </c>
      <c r="S59" s="35">
        <f t="shared" si="22"/>
        <v>225.25508812234438</v>
      </c>
      <c r="T59" s="35">
        <f t="shared" si="23"/>
        <v>218.73781377068477</v>
      </c>
      <c r="U59" s="35">
        <f t="shared" si="24"/>
        <v>212.161306638166</v>
      </c>
      <c r="V59" s="35">
        <f t="shared" si="25"/>
        <v>205.52458880394357</v>
      </c>
      <c r="W59" s="35">
        <f t="shared" si="26"/>
        <v>198.82734247447172</v>
      </c>
      <c r="X59" s="35">
        <f t="shared" si="27"/>
        <v>192.06991301360469</v>
      </c>
      <c r="Y59" s="35">
        <f t="shared" si="28"/>
        <v>185.25330470754162</v>
      </c>
      <c r="Z59" s="35">
        <f t="shared" si="29"/>
        <v>178.37916933071853</v>
      </c>
      <c r="AA59" s="35">
        <f t="shared" si="30"/>
        <v>171.44978765671434</v>
      </c>
      <c r="AB59" s="35">
        <f t="shared" si="31"/>
        <v>164.46804413380383</v>
      </c>
      <c r="AC59" s="35">
        <f t="shared" si="32"/>
        <v>157.43739501721197</v>
      </c>
      <c r="AD59" s="35">
        <f t="shared" si="33"/>
        <v>150.36183031871468</v>
      </c>
      <c r="AE59" s="35">
        <f t="shared" si="34"/>
        <v>143.24582999837901</v>
      </c>
      <c r="AF59" s="35">
        <f t="shared" si="35"/>
        <v>136.09431488239048</v>
      </c>
      <c r="AG59" s="35">
        <f t="shared" si="36"/>
        <v>128.91259284460423</v>
      </c>
      <c r="AH59" s="35">
        <f t="shared" si="37"/>
        <v>121.70630083726567</v>
      </c>
      <c r="AI59" s="35">
        <f t="shared" si="120"/>
        <v>114.48134339792864</v>
      </c>
      <c r="AJ59" s="35">
        <f t="shared" si="103"/>
        <v>107.24382829466745</v>
      </c>
      <c r="AK59" s="33">
        <f t="shared" si="39"/>
        <v>100</v>
      </c>
      <c r="AL59" s="34"/>
      <c r="AM59" s="30">
        <v>3.3333333333333333E-2</v>
      </c>
      <c r="AN59" s="37">
        <f t="shared" si="40"/>
        <v>-1076400000</v>
      </c>
      <c r="AO59" s="38">
        <f t="shared" si="104"/>
        <v>-1054579370.0944577</v>
      </c>
      <c r="AP59" s="38">
        <f t="shared" si="41"/>
        <v>-1032735700.051114</v>
      </c>
      <c r="AQ59" s="38">
        <f t="shared" si="42"/>
        <v>-1010846203.8729454</v>
      </c>
      <c r="AR59" s="38">
        <f t="shared" si="43"/>
        <v>-988888600.98504221</v>
      </c>
      <c r="AS59" s="38">
        <f t="shared" si="44"/>
        <v>-966841361.8317039</v>
      </c>
      <c r="AT59" s="38">
        <f t="shared" si="45"/>
        <v>-944683945.03325498</v>
      </c>
      <c r="AU59" s="38">
        <f t="shared" si="46"/>
        <v>-922397023.44837058</v>
      </c>
      <c r="AV59" s="38">
        <f t="shared" si="47"/>
        <v>-899962696.62107384</v>
      </c>
      <c r="AW59" s="38">
        <f t="shared" si="48"/>
        <v>-877364687.25448179</v>
      </c>
      <c r="AX59" s="38">
        <f t="shared" si="49"/>
        <v>-854588519.54344845</v>
      </c>
      <c r="AY59" s="38">
        <f t="shared" si="50"/>
        <v>-831621677.41273201</v>
      </c>
      <c r="AZ59" s="38">
        <f t="shared" si="51"/>
        <v>-808453740.94313478</v>
      </c>
      <c r="BA59" s="38">
        <f t="shared" si="52"/>
        <v>-785076499.52197385</v>
      </c>
      <c r="BB59" s="38">
        <f t="shared" si="53"/>
        <v>-761484040.5227927</v>
      </c>
      <c r="BC59" s="38">
        <f t="shared" si="54"/>
        <v>-737672812.59888244</v>
      </c>
      <c r="BD59" s="38">
        <f t="shared" si="55"/>
        <v>-713641662.96238053</v>
      </c>
      <c r="BE59" s="38">
        <f t="shared" si="56"/>
        <v>-689391848.31192529</v>
      </c>
      <c r="BF59" s="38">
        <f t="shared" si="57"/>
        <v>-664927019.36360598</v>
      </c>
      <c r="BG59" s="38">
        <f t="shared" si="58"/>
        <v>-640253179.22894788</v>
      </c>
      <c r="BH59" s="38">
        <f t="shared" si="59"/>
        <v>-615378616.16676307</v>
      </c>
      <c r="BI59" s="38">
        <f t="shared" si="60"/>
        <v>-590313811.50992906</v>
      </c>
      <c r="BJ59" s="38">
        <f t="shared" si="61"/>
        <v>-565071323.83084512</v>
      </c>
      <c r="BK59" s="38">
        <f t="shared" si="62"/>
        <v>-539665650.65795934</v>
      </c>
      <c r="BL59" s="38">
        <f t="shared" si="63"/>
        <v>-514113069.28818703</v>
      </c>
      <c r="BM59" s="38">
        <f t="shared" si="64"/>
        <v>-488431458.45425969</v>
      </c>
      <c r="BN59" s="38">
        <f t="shared" si="65"/>
        <v>-462640102.80038667</v>
      </c>
      <c r="BO59" s="38">
        <f t="shared" si="66"/>
        <v>-436759482.29258305</v>
      </c>
      <c r="BP59" s="38">
        <f t="shared" si="67"/>
        <v>-410811048.84041399</v>
      </c>
      <c r="BQ59" s="38">
        <f t="shared" si="68"/>
        <v>-384816992.53368896</v>
      </c>
      <c r="BR59" s="37">
        <f t="shared" si="69"/>
        <v>-358800000</v>
      </c>
      <c r="BT59" s="34"/>
      <c r="BU59" s="41">
        <v>3.3333333333333333E-2</v>
      </c>
      <c r="BV59" s="37">
        <v>0</v>
      </c>
      <c r="BW59" s="39">
        <f t="shared" ref="BW59:CY59" si="124">$B$20/($B$21-$B$22*BV59)</f>
        <v>0.34883720930232553</v>
      </c>
      <c r="BX59" s="39">
        <f t="shared" si="124"/>
        <v>0.39716748768472904</v>
      </c>
      <c r="BY59" s="39">
        <f t="shared" si="124"/>
        <v>0.40494040593779607</v>
      </c>
      <c r="BZ59" s="39">
        <f t="shared" si="124"/>
        <v>0.4062190081621499</v>
      </c>
      <c r="CA59" s="39">
        <f t="shared" si="124"/>
        <v>0.40643010492156101</v>
      </c>
      <c r="CB59" s="39">
        <f t="shared" si="124"/>
        <v>0.40646497802255066</v>
      </c>
      <c r="CC59" s="39">
        <f t="shared" si="124"/>
        <v>0.40647073962099717</v>
      </c>
      <c r="CD59" s="39">
        <f t="shared" si="124"/>
        <v>0.40647169154566137</v>
      </c>
      <c r="CE59" s="39">
        <f t="shared" si="124"/>
        <v>0.40647184882198806</v>
      </c>
      <c r="CF59" s="39">
        <f t="shared" si="124"/>
        <v>0.40647187480708435</v>
      </c>
      <c r="CG59" s="39">
        <f t="shared" si="124"/>
        <v>0.40647187910032606</v>
      </c>
      <c r="CH59" s="39">
        <f t="shared" si="124"/>
        <v>0.40647187980965277</v>
      </c>
      <c r="CI59" s="39">
        <f t="shared" si="124"/>
        <v>0.4064718799268473</v>
      </c>
      <c r="CJ59" s="39">
        <f t="shared" si="124"/>
        <v>0.40647187994621015</v>
      </c>
      <c r="CK59" s="39">
        <f t="shared" si="124"/>
        <v>0.40647187994940925</v>
      </c>
      <c r="CL59" s="39">
        <f t="shared" si="124"/>
        <v>0.40647187994993778</v>
      </c>
      <c r="CM59" s="39">
        <f t="shared" si="124"/>
        <v>0.40647187995002515</v>
      </c>
      <c r="CN59" s="39">
        <f t="shared" si="124"/>
        <v>0.40647187995003953</v>
      </c>
      <c r="CO59" s="39">
        <f t="shared" si="124"/>
        <v>0.40647187995004191</v>
      </c>
      <c r="CP59" s="39">
        <f t="shared" si="124"/>
        <v>0.40647187995004236</v>
      </c>
      <c r="CQ59" s="39">
        <f t="shared" si="124"/>
        <v>0.40647187995004236</v>
      </c>
      <c r="CR59" s="39">
        <f t="shared" si="124"/>
        <v>0.40647187995004236</v>
      </c>
      <c r="CS59" s="39">
        <f t="shared" si="124"/>
        <v>0.40647187995004236</v>
      </c>
      <c r="CT59" s="39">
        <f t="shared" si="124"/>
        <v>0.40647187995004236</v>
      </c>
      <c r="CU59" s="39">
        <f t="shared" si="124"/>
        <v>0.40647187995004236</v>
      </c>
      <c r="CV59" s="39">
        <f t="shared" si="124"/>
        <v>0.40647187995004236</v>
      </c>
      <c r="CW59" s="39">
        <f t="shared" si="124"/>
        <v>0.40647187995004236</v>
      </c>
      <c r="CX59" s="39">
        <f t="shared" si="124"/>
        <v>0.40647187995004236</v>
      </c>
      <c r="CY59" s="37">
        <f t="shared" si="124"/>
        <v>0.40647187995004236</v>
      </c>
      <c r="CZ59" s="29">
        <f t="shared" si="71"/>
        <v>100</v>
      </c>
      <c r="DB59" s="34"/>
      <c r="DC59" s="41">
        <v>3.3333333333333333E-2</v>
      </c>
      <c r="DD59" s="37">
        <f t="shared" si="72"/>
        <v>300</v>
      </c>
      <c r="DE59" s="39">
        <f t="shared" si="73"/>
        <v>193.51022666788489</v>
      </c>
      <c r="DF59" s="39">
        <f t="shared" si="74"/>
        <v>175.93061873887783</v>
      </c>
      <c r="DG59" s="39">
        <f t="shared" si="75"/>
        <v>170.11399397987617</v>
      </c>
      <c r="DH59" s="39">
        <f t="shared" si="76"/>
        <v>166.1338148836449</v>
      </c>
      <c r="DI59" s="39">
        <f t="shared" si="77"/>
        <v>162.43807273489503</v>
      </c>
      <c r="DJ59" s="39">
        <f t="shared" si="78"/>
        <v>158.77440673576012</v>
      </c>
      <c r="DK59" s="39">
        <f t="shared" si="79"/>
        <v>155.0993245352104</v>
      </c>
      <c r="DL59" s="39">
        <f t="shared" si="80"/>
        <v>151.40323350276014</v>
      </c>
      <c r="DM59" s="39">
        <f t="shared" si="81"/>
        <v>147.68222627800972</v>
      </c>
      <c r="DN59" s="39">
        <f t="shared" si="82"/>
        <v>143.93355006903136</v>
      </c>
      <c r="DO59" s="39">
        <f t="shared" si="83"/>
        <v>140.154898513473</v>
      </c>
      <c r="DP59" s="39">
        <f t="shared" si="84"/>
        <v>136.34431777352037</v>
      </c>
      <c r="DQ59" s="39">
        <f t="shared" si="85"/>
        <v>132.50020861373312</v>
      </c>
      <c r="DR59" s="39">
        <f t="shared" si="86"/>
        <v>128.62134065185523</v>
      </c>
      <c r="DS59" s="39">
        <f t="shared" si="87"/>
        <v>124.70686512300004</v>
      </c>
      <c r="DT59" s="39">
        <f t="shared" si="88"/>
        <v>120.7563238500108</v>
      </c>
      <c r="DU59" s="39">
        <f t="shared" si="89"/>
        <v>116.7696539821754</v>
      </c>
      <c r="DV59" s="39">
        <f t="shared" si="90"/>
        <v>112.74718840575802</v>
      </c>
      <c r="DW59" s="39">
        <f t="shared" si="91"/>
        <v>108.68965182485836</v>
      </c>
      <c r="DX59" s="39">
        <f t="shared" si="92"/>
        <v>104.59815256594055</v>
      </c>
      <c r="DY59" s="39">
        <f t="shared" si="93"/>
        <v>100.47417020672025</v>
      </c>
      <c r="DZ59" s="39">
        <f t="shared" si="94"/>
        <v>96.31953917483473</v>
      </c>
      <c r="EA59" s="39">
        <f t="shared" si="95"/>
        <v>92.136428504269389</v>
      </c>
      <c r="EB59" s="39">
        <f t="shared" si="96"/>
        <v>87.927317977620731</v>
      </c>
      <c r="EC59" s="39">
        <f t="shared" si="97"/>
        <v>83.694970919609815</v>
      </c>
      <c r="ED59" s="39">
        <f t="shared" si="98"/>
        <v>79.442403941515437</v>
      </c>
      <c r="EE59" s="39">
        <f t="shared" si="99"/>
        <v>75.172853967103251</v>
      </c>
      <c r="EF59" s="39">
        <f t="shared" si="100"/>
        <v>70.889742897955614</v>
      </c>
      <c r="EG59" s="39">
        <f t="shared" si="101"/>
        <v>66.596640299663221</v>
      </c>
      <c r="EH59" s="37">
        <f t="shared" si="102"/>
        <v>62.297224509964551</v>
      </c>
    </row>
    <row r="60" spans="5:138" x14ac:dyDescent="0.25">
      <c r="E60" s="32"/>
      <c r="F60" s="41">
        <v>3.0000000000000002E-2</v>
      </c>
      <c r="G60" s="33">
        <f t="shared" si="10"/>
        <v>300</v>
      </c>
      <c r="H60" s="35">
        <f t="shared" si="11"/>
        <v>293.91031437921134</v>
      </c>
      <c r="I60" s="35">
        <f t="shared" si="12"/>
        <v>287.81429713172486</v>
      </c>
      <c r="J60" s="35">
        <f t="shared" si="13"/>
        <v>281.70568644385997</v>
      </c>
      <c r="K60" s="35">
        <f t="shared" si="14"/>
        <v>275.57835934366176</v>
      </c>
      <c r="L60" s="35">
        <f t="shared" si="15"/>
        <v>269.42639917044215</v>
      </c>
      <c r="M60" s="35">
        <f t="shared" si="16"/>
        <v>263.2441607290553</v>
      </c>
      <c r="N60" s="35">
        <f t="shared" si="17"/>
        <v>257.02633240059498</v>
      </c>
      <c r="O60" s="35">
        <f t="shared" si="18"/>
        <v>250.76799451760695</v>
      </c>
      <c r="P60" s="35">
        <f t="shared" si="19"/>
        <v>244.46467335639127</v>
      </c>
      <c r="Q60" s="35">
        <f t="shared" si="20"/>
        <v>238.11239015088967</v>
      </c>
      <c r="R60" s="35">
        <f t="shared" si="21"/>
        <v>231.70770459126669</v>
      </c>
      <c r="S60" s="35">
        <f t="shared" si="22"/>
        <v>225.24775233477496</v>
      </c>
      <c r="T60" s="35">
        <f t="shared" si="23"/>
        <v>218.73027612596587</v>
      </c>
      <c r="U60" s="35">
        <f t="shared" si="24"/>
        <v>212.15365019683031</v>
      </c>
      <c r="V60" s="35">
        <f t="shared" si="25"/>
        <v>205.51689769407423</v>
      </c>
      <c r="W60" s="35">
        <f t="shared" si="26"/>
        <v>198.81970095948157</v>
      </c>
      <c r="X60" s="35">
        <f t="shared" si="27"/>
        <v>192.06240456922419</v>
      </c>
      <c r="Y60" s="35">
        <f t="shared" si="28"/>
        <v>185.24601111810881</v>
      </c>
      <c r="Z60" s="35">
        <f t="shared" si="29"/>
        <v>178.37216981418766</v>
      </c>
      <c r="AA60" s="35">
        <f t="shared" si="30"/>
        <v>171.4431580270406</v>
      </c>
      <c r="AB60" s="35">
        <f t="shared" si="31"/>
        <v>164.46185600855046</v>
      </c>
      <c r="AC60" s="35">
        <f t="shared" si="32"/>
        <v>157.43171507738674</v>
      </c>
      <c r="AD60" s="35">
        <f t="shared" si="33"/>
        <v>150.35671962700064</v>
      </c>
      <c r="AE60" s="35">
        <f t="shared" si="34"/>
        <v>143.24134338109926</v>
      </c>
      <c r="AF60" s="35">
        <f t="shared" si="35"/>
        <v>136.09050037975675</v>
      </c>
      <c r="AG60" s="35">
        <f t="shared" si="36"/>
        <v>128.90949123305455</v>
      </c>
      <c r="AH60" s="35">
        <f t="shared" si="37"/>
        <v>121.70394522700747</v>
      </c>
      <c r="AI60" s="35">
        <f t="shared" si="120"/>
        <v>114.47975890817079</v>
      </c>
      <c r="AJ60" s="35">
        <f t="shared" si="103"/>
        <v>107.24303180844953</v>
      </c>
      <c r="AK60" s="33">
        <f t="shared" si="39"/>
        <v>100</v>
      </c>
      <c r="AL60" s="34"/>
      <c r="AM60" s="30">
        <v>3.0000000000000002E-2</v>
      </c>
      <c r="AN60" s="37">
        <f t="shared" si="40"/>
        <v>-1076400000</v>
      </c>
      <c r="AO60" s="38">
        <f t="shared" si="104"/>
        <v>-1054576420.9271392</v>
      </c>
      <c r="AP60" s="38">
        <f t="shared" si="41"/>
        <v>-1032729834.9517953</v>
      </c>
      <c r="AQ60" s="38">
        <f t="shared" si="42"/>
        <v>-1010837488.9076297</v>
      </c>
      <c r="AR60" s="38">
        <f t="shared" si="43"/>
        <v>-988877134.24736726</v>
      </c>
      <c r="AS60" s="38">
        <f t="shared" si="44"/>
        <v>-966827272.25375926</v>
      </c>
      <c r="AT60" s="38">
        <f t="shared" si="45"/>
        <v>-944667390.82833445</v>
      </c>
      <c r="AU60" s="38">
        <f t="shared" si="46"/>
        <v>-922378190.20907915</v>
      </c>
      <c r="AV60" s="38">
        <f t="shared" si="47"/>
        <v>-899941795.10103643</v>
      </c>
      <c r="AW60" s="38">
        <f t="shared" si="48"/>
        <v>-877341950.86607563</v>
      </c>
      <c r="AX60" s="38">
        <f t="shared" si="49"/>
        <v>-854564201.60745478</v>
      </c>
      <c r="AY60" s="38">
        <f t="shared" si="50"/>
        <v>-831596048.19850159</v>
      </c>
      <c r="AZ60" s="38">
        <f t="shared" si="51"/>
        <v>-808427084.53976655</v>
      </c>
      <c r="BA60" s="38">
        <f t="shared" si="52"/>
        <v>-785049110.58211768</v>
      </c>
      <c r="BB60" s="38">
        <f t="shared" si="53"/>
        <v>-761456220.9210161</v>
      </c>
      <c r="BC60" s="38">
        <f t="shared" si="54"/>
        <v>-737644868.04614174</v>
      </c>
      <c r="BD60" s="38">
        <f t="shared" si="55"/>
        <v>-713613899.61707175</v>
      </c>
      <c r="BE60" s="38">
        <f t="shared" si="56"/>
        <v>-689364569.42632842</v>
      </c>
      <c r="BF60" s="38">
        <f t="shared" si="57"/>
        <v>-664900522.0023905</v>
      </c>
      <c r="BG60" s="38">
        <f t="shared" si="58"/>
        <v>-640227751.09386075</v>
      </c>
      <c r="BH60" s="38">
        <f t="shared" si="59"/>
        <v>-615354532.55878186</v>
      </c>
      <c r="BI60" s="38">
        <f t="shared" si="60"/>
        <v>-590291332.45714772</v>
      </c>
      <c r="BJ60" s="38">
        <f t="shared" si="61"/>
        <v>-565050691.40724444</v>
      </c>
      <c r="BK60" s="38">
        <f t="shared" si="62"/>
        <v>-539647086.51511157</v>
      </c>
      <c r="BL60" s="38">
        <f t="shared" si="63"/>
        <v>-514096772.41891062</v>
      </c>
      <c r="BM60" s="38">
        <f t="shared" si="64"/>
        <v>-488417603.20435619</v>
      </c>
      <c r="BN60" s="38">
        <f t="shared" si="65"/>
        <v>-462628837.14188778</v>
      </c>
      <c r="BO60" s="38">
        <f t="shared" si="66"/>
        <v>-436750926.3694517</v>
      </c>
      <c r="BP60" s="38">
        <f t="shared" si="67"/>
        <v>-410805293.79537916</v>
      </c>
      <c r="BQ60" s="38">
        <f t="shared" si="68"/>
        <v>-384814099.62285185</v>
      </c>
      <c r="BR60" s="37">
        <f t="shared" si="69"/>
        <v>-358800000</v>
      </c>
      <c r="BT60" s="34"/>
      <c r="BU60" s="41">
        <v>3.0000000000000002E-2</v>
      </c>
      <c r="BV60" s="37">
        <v>0</v>
      </c>
      <c r="BW60" s="39">
        <f t="shared" ref="BW60:CY60" si="125">$B$20/($B$21-$B$22*BV60)</f>
        <v>0.34883720930232553</v>
      </c>
      <c r="BX60" s="39">
        <f t="shared" si="125"/>
        <v>0.39716748768472904</v>
      </c>
      <c r="BY60" s="39">
        <f t="shared" si="125"/>
        <v>0.40494040593779607</v>
      </c>
      <c r="BZ60" s="39">
        <f t="shared" si="125"/>
        <v>0.4062190081621499</v>
      </c>
      <c r="CA60" s="39">
        <f t="shared" si="125"/>
        <v>0.40643010492156101</v>
      </c>
      <c r="CB60" s="39">
        <f t="shared" si="125"/>
        <v>0.40646497802255066</v>
      </c>
      <c r="CC60" s="39">
        <f t="shared" si="125"/>
        <v>0.40647073962099717</v>
      </c>
      <c r="CD60" s="39">
        <f t="shared" si="125"/>
        <v>0.40647169154566137</v>
      </c>
      <c r="CE60" s="39">
        <f t="shared" si="125"/>
        <v>0.40647184882198806</v>
      </c>
      <c r="CF60" s="39">
        <f t="shared" si="125"/>
        <v>0.40647187480708435</v>
      </c>
      <c r="CG60" s="39">
        <f t="shared" si="125"/>
        <v>0.40647187910032606</v>
      </c>
      <c r="CH60" s="39">
        <f t="shared" si="125"/>
        <v>0.40647187980965277</v>
      </c>
      <c r="CI60" s="39">
        <f t="shared" si="125"/>
        <v>0.4064718799268473</v>
      </c>
      <c r="CJ60" s="39">
        <f t="shared" si="125"/>
        <v>0.40647187994621015</v>
      </c>
      <c r="CK60" s="39">
        <f t="shared" si="125"/>
        <v>0.40647187994940925</v>
      </c>
      <c r="CL60" s="39">
        <f t="shared" si="125"/>
        <v>0.40647187994993778</v>
      </c>
      <c r="CM60" s="39">
        <f t="shared" si="125"/>
        <v>0.40647187995002515</v>
      </c>
      <c r="CN60" s="39">
        <f t="shared" si="125"/>
        <v>0.40647187995003953</v>
      </c>
      <c r="CO60" s="39">
        <f t="shared" si="125"/>
        <v>0.40647187995004191</v>
      </c>
      <c r="CP60" s="39">
        <f t="shared" si="125"/>
        <v>0.40647187995004236</v>
      </c>
      <c r="CQ60" s="39">
        <f t="shared" si="125"/>
        <v>0.40647187995004236</v>
      </c>
      <c r="CR60" s="39">
        <f t="shared" si="125"/>
        <v>0.40647187995004236</v>
      </c>
      <c r="CS60" s="39">
        <f t="shared" si="125"/>
        <v>0.40647187995004236</v>
      </c>
      <c r="CT60" s="39">
        <f t="shared" si="125"/>
        <v>0.40647187995004236</v>
      </c>
      <c r="CU60" s="39">
        <f t="shared" si="125"/>
        <v>0.40647187995004236</v>
      </c>
      <c r="CV60" s="39">
        <f t="shared" si="125"/>
        <v>0.40647187995004236</v>
      </c>
      <c r="CW60" s="39">
        <f t="shared" si="125"/>
        <v>0.40647187995004236</v>
      </c>
      <c r="CX60" s="39">
        <f t="shared" si="125"/>
        <v>0.40647187995004236</v>
      </c>
      <c r="CY60" s="37">
        <f t="shared" si="125"/>
        <v>0.40647187995004236</v>
      </c>
      <c r="CZ60" s="29">
        <f t="shared" si="71"/>
        <v>100</v>
      </c>
      <c r="DB60" s="34"/>
      <c r="DC60" s="41">
        <v>3.0000000000000002E-2</v>
      </c>
      <c r="DD60" s="37">
        <f t="shared" si="72"/>
        <v>300</v>
      </c>
      <c r="DE60" s="39">
        <f t="shared" si="73"/>
        <v>193.50997817047011</v>
      </c>
      <c r="DF60" s="39">
        <f t="shared" si="74"/>
        <v>175.92995738031496</v>
      </c>
      <c r="DG60" s="39">
        <f t="shared" si="75"/>
        <v>170.11287374356576</v>
      </c>
      <c r="DH60" s="39">
        <f t="shared" si="76"/>
        <v>166.13223469994526</v>
      </c>
      <c r="DI60" s="39">
        <f t="shared" si="77"/>
        <v>162.43604730534395</v>
      </c>
      <c r="DJ60" s="39">
        <f t="shared" si="78"/>
        <v>158.77195817863065</v>
      </c>
      <c r="DK60" s="39">
        <f t="shared" si="79"/>
        <v>155.09648019574911</v>
      </c>
      <c r="DL60" s="39">
        <f t="shared" si="80"/>
        <v>151.400025215277</v>
      </c>
      <c r="DM60" s="39">
        <f t="shared" si="81"/>
        <v>147.67868990433661</v>
      </c>
      <c r="DN60" s="39">
        <f t="shared" si="82"/>
        <v>143.92972505843142</v>
      </c>
      <c r="DO60" s="39">
        <f t="shared" si="83"/>
        <v>140.15082743662586</v>
      </c>
      <c r="DP60" s="39">
        <f t="shared" si="84"/>
        <v>136.3400458265692</v>
      </c>
      <c r="DQ60" s="39">
        <f t="shared" si="85"/>
        <v>132.49578309711751</v>
      </c>
      <c r="DR60" s="39">
        <f t="shared" si="86"/>
        <v>128.61681043040701</v>
      </c>
      <c r="DS60" s="39">
        <f t="shared" si="87"/>
        <v>124.70228007409439</v>
      </c>
      <c r="DT60" s="39">
        <f t="shared" si="88"/>
        <v>120.75173430652347</v>
      </c>
      <c r="DU60" s="39">
        <f t="shared" si="89"/>
        <v>116.76511017680323</v>
      </c>
      <c r="DV60" s="39">
        <f t="shared" si="90"/>
        <v>112.74273992296825</v>
      </c>
      <c r="DW60" s="39">
        <f t="shared" si="91"/>
        <v>108.68534706636436</v>
      </c>
      <c r="DX60" s="39">
        <f t="shared" si="92"/>
        <v>104.59403823517192</v>
      </c>
      <c r="DY60" s="39">
        <f t="shared" si="93"/>
        <v>100.47029081728563</v>
      </c>
      <c r="DZ60" s="39">
        <f t="shared" si="94"/>
        <v>96.315936587478362</v>
      </c>
      <c r="EA60" s="39">
        <f t="shared" si="95"/>
        <v>92.133141496315659</v>
      </c>
      <c r="EB60" s="39">
        <f t="shared" si="96"/>
        <v>87.924381848397587</v>
      </c>
      <c r="EC60" s="39">
        <f t="shared" si="97"/>
        <v>83.692417134853542</v>
      </c>
      <c r="ED60" s="39">
        <f t="shared" si="98"/>
        <v>79.440259819295846</v>
      </c>
      <c r="EE60" s="39">
        <f t="shared" si="99"/>
        <v>75.171142407375669</v>
      </c>
      <c r="EF60" s="39">
        <f t="shared" si="100"/>
        <v>70.888482157448124</v>
      </c>
      <c r="EG60" s="39">
        <f t="shared" si="101"/>
        <v>66.595843813445285</v>
      </c>
      <c r="EH60" s="37">
        <f t="shared" si="102"/>
        <v>62.29690076071418</v>
      </c>
    </row>
    <row r="61" spans="5:138" x14ac:dyDescent="0.25">
      <c r="E61" s="32"/>
      <c r="F61" s="41">
        <v>2.6666666666666668E-2</v>
      </c>
      <c r="G61" s="33">
        <f t="shared" si="10"/>
        <v>300</v>
      </c>
      <c r="H61" s="35">
        <f t="shared" si="11"/>
        <v>293.90956759212088</v>
      </c>
      <c r="I61" s="35">
        <f t="shared" si="12"/>
        <v>287.81281196476033</v>
      </c>
      <c r="J61" s="35">
        <f t="shared" si="13"/>
        <v>281.70347960946731</v>
      </c>
      <c r="K61" s="35">
        <f t="shared" si="14"/>
        <v>275.57545565709455</v>
      </c>
      <c r="L61" s="35">
        <f t="shared" si="15"/>
        <v>269.42283124997255</v>
      </c>
      <c r="M61" s="35">
        <f t="shared" si="16"/>
        <v>263.23996860333</v>
      </c>
      <c r="N61" s="35">
        <f t="shared" si="17"/>
        <v>257.02156302898891</v>
      </c>
      <c r="O61" s="35">
        <f t="shared" si="18"/>
        <v>250.76270123063483</v>
      </c>
      <c r="P61" s="35">
        <f t="shared" si="19"/>
        <v>244.45891522428812</v>
      </c>
      <c r="Q61" s="35">
        <f t="shared" si="20"/>
        <v>238.10623128934574</v>
      </c>
      <c r="R61" s="35">
        <f t="shared" si="21"/>
        <v>231.7012134139863</v>
      </c>
      <c r="S61" s="35">
        <f t="shared" si="22"/>
        <v>225.24100076301704</v>
      </c>
      <c r="T61" s="35">
        <f t="shared" si="23"/>
        <v>218.7233387655146</v>
      </c>
      <c r="U61" s="35">
        <f t="shared" si="24"/>
        <v>212.14660349294144</v>
      </c>
      <c r="V61" s="35">
        <f t="shared" si="25"/>
        <v>205.50981907485905</v>
      </c>
      <c r="W61" s="35">
        <f t="shared" si="26"/>
        <v>198.81266797793893</v>
      </c>
      <c r="X61" s="35">
        <f t="shared" si="27"/>
        <v>192.05549405373327</v>
      </c>
      <c r="Y61" s="35">
        <f t="shared" si="28"/>
        <v>185.23929834067212</v>
      </c>
      <c r="Z61" s="35">
        <f t="shared" si="29"/>
        <v>178.36572768509177</v>
      </c>
      <c r="AA61" s="35">
        <f t="shared" si="30"/>
        <v>171.43705632390387</v>
      </c>
      <c r="AB61" s="35">
        <f t="shared" si="31"/>
        <v>164.45616064698092</v>
      </c>
      <c r="AC61" s="35">
        <f t="shared" si="32"/>
        <v>157.42648742970141</v>
      </c>
      <c r="AD61" s="35">
        <f t="shared" si="33"/>
        <v>150.35201589468289</v>
      </c>
      <c r="AE61" s="35">
        <f t="shared" si="34"/>
        <v>143.23721402591178</v>
      </c>
      <c r="AF61" s="35">
        <f t="shared" si="35"/>
        <v>136.0869896177004</v>
      </c>
      <c r="AG61" s="35">
        <f t="shared" si="36"/>
        <v>128.90663659467879</v>
      </c>
      <c r="AH61" s="35">
        <f t="shared" si="37"/>
        <v>121.70177718694268</v>
      </c>
      <c r="AI61" s="35">
        <f t="shared" si="120"/>
        <v>114.47830058617186</v>
      </c>
      <c r="AJ61" s="35">
        <f t="shared" si="103"/>
        <v>107.24229874370818</v>
      </c>
      <c r="AK61" s="33">
        <f t="shared" si="39"/>
        <v>100</v>
      </c>
      <c r="AL61" s="34"/>
      <c r="AM61" s="30">
        <v>2.6666666666666668E-2</v>
      </c>
      <c r="AN61" s="37">
        <f t="shared" si="40"/>
        <v>-1076400000</v>
      </c>
      <c r="AO61" s="38">
        <f t="shared" si="104"/>
        <v>-1054573706.6491826</v>
      </c>
      <c r="AP61" s="38">
        <f t="shared" si="41"/>
        <v>-1032724436.9832003</v>
      </c>
      <c r="AQ61" s="38">
        <f t="shared" si="42"/>
        <v>-1010829468.0506788</v>
      </c>
      <c r="AR61" s="38">
        <f t="shared" si="43"/>
        <v>-988866580.78031695</v>
      </c>
      <c r="AS61" s="38">
        <f t="shared" si="44"/>
        <v>-966814304.83651662</v>
      </c>
      <c r="AT61" s="38">
        <f t="shared" si="45"/>
        <v>-944652155.06941998</v>
      </c>
      <c r="AU61" s="38">
        <f t="shared" si="46"/>
        <v>-922360856.91542614</v>
      </c>
      <c r="AV61" s="38">
        <f t="shared" si="47"/>
        <v>-899922558.23660731</v>
      </c>
      <c r="AW61" s="38">
        <f t="shared" si="48"/>
        <v>-877321025.2491318</v>
      </c>
      <c r="AX61" s="38">
        <f t="shared" si="49"/>
        <v>-854541820.37949932</v>
      </c>
      <c r="AY61" s="38">
        <f t="shared" si="50"/>
        <v>-831572460.1004076</v>
      </c>
      <c r="AZ61" s="38">
        <f t="shared" si="51"/>
        <v>-808402551.03235281</v>
      </c>
      <c r="BA61" s="38">
        <f t="shared" si="52"/>
        <v>-785023902.84945953</v>
      </c>
      <c r="BB61" s="38">
        <f t="shared" si="53"/>
        <v>-761430616.79508197</v>
      </c>
      <c r="BC61" s="38">
        <f t="shared" si="54"/>
        <v>-737619148.89098263</v>
      </c>
      <c r="BD61" s="38">
        <f t="shared" si="55"/>
        <v>-713588347.20980728</v>
      </c>
      <c r="BE61" s="38">
        <f t="shared" si="56"/>
        <v>-689339462.87065673</v>
      </c>
      <c r="BF61" s="38">
        <f t="shared" si="57"/>
        <v>-664876134.70836127</v>
      </c>
      <c r="BG61" s="38">
        <f t="shared" si="58"/>
        <v>-640204347.85532463</v>
      </c>
      <c r="BH61" s="38">
        <f t="shared" si="59"/>
        <v>-615332366.75731015</v>
      </c>
      <c r="BI61" s="38">
        <f t="shared" si="60"/>
        <v>-590270643.4184438</v>
      </c>
      <c r="BJ61" s="38">
        <f t="shared" si="61"/>
        <v>-565031701.93320858</v>
      </c>
      <c r="BK61" s="38">
        <f t="shared" si="62"/>
        <v>-539630000.61185813</v>
      </c>
      <c r="BL61" s="38">
        <f t="shared" si="63"/>
        <v>-514081773.23825413</v>
      </c>
      <c r="BM61" s="38">
        <f t="shared" si="64"/>
        <v>-488404851.21362352</v>
      </c>
      <c r="BN61" s="38">
        <f t="shared" si="65"/>
        <v>-462618468.53442568</v>
      </c>
      <c r="BO61" s="38">
        <f t="shared" si="66"/>
        <v>-436743051.72591418</v>
      </c>
      <c r="BP61" s="38">
        <f t="shared" si="67"/>
        <v>-410799997.003793</v>
      </c>
      <c r="BQ61" s="38">
        <f t="shared" si="68"/>
        <v>-384811437.06357723</v>
      </c>
      <c r="BR61" s="37">
        <f t="shared" si="69"/>
        <v>-358800000</v>
      </c>
      <c r="BT61" s="34"/>
      <c r="BU61" s="41">
        <v>2.6666666666666668E-2</v>
      </c>
      <c r="BV61" s="37">
        <v>0</v>
      </c>
      <c r="BW61" s="39">
        <f t="shared" ref="BW61:CY61" si="126">$B$20/($B$21-$B$22*BV61)</f>
        <v>0.34883720930232553</v>
      </c>
      <c r="BX61" s="39">
        <f t="shared" si="126"/>
        <v>0.39716748768472904</v>
      </c>
      <c r="BY61" s="39">
        <f t="shared" si="126"/>
        <v>0.40494040593779607</v>
      </c>
      <c r="BZ61" s="39">
        <f t="shared" si="126"/>
        <v>0.4062190081621499</v>
      </c>
      <c r="CA61" s="39">
        <f t="shared" si="126"/>
        <v>0.40643010492156101</v>
      </c>
      <c r="CB61" s="39">
        <f t="shared" si="126"/>
        <v>0.40646497802255066</v>
      </c>
      <c r="CC61" s="39">
        <f t="shared" si="126"/>
        <v>0.40647073962099717</v>
      </c>
      <c r="CD61" s="39">
        <f t="shared" si="126"/>
        <v>0.40647169154566137</v>
      </c>
      <c r="CE61" s="39">
        <f t="shared" si="126"/>
        <v>0.40647184882198806</v>
      </c>
      <c r="CF61" s="39">
        <f t="shared" si="126"/>
        <v>0.40647187480708435</v>
      </c>
      <c r="CG61" s="39">
        <f t="shared" si="126"/>
        <v>0.40647187910032606</v>
      </c>
      <c r="CH61" s="39">
        <f t="shared" si="126"/>
        <v>0.40647187980965277</v>
      </c>
      <c r="CI61" s="39">
        <f t="shared" si="126"/>
        <v>0.4064718799268473</v>
      </c>
      <c r="CJ61" s="39">
        <f t="shared" si="126"/>
        <v>0.40647187994621015</v>
      </c>
      <c r="CK61" s="39">
        <f t="shared" si="126"/>
        <v>0.40647187994940925</v>
      </c>
      <c r="CL61" s="39">
        <f t="shared" si="126"/>
        <v>0.40647187994993778</v>
      </c>
      <c r="CM61" s="39">
        <f t="shared" si="126"/>
        <v>0.40647187995002515</v>
      </c>
      <c r="CN61" s="39">
        <f t="shared" si="126"/>
        <v>0.40647187995003953</v>
      </c>
      <c r="CO61" s="39">
        <f t="shared" si="126"/>
        <v>0.40647187995004191</v>
      </c>
      <c r="CP61" s="39">
        <f t="shared" si="126"/>
        <v>0.40647187995004236</v>
      </c>
      <c r="CQ61" s="39">
        <f t="shared" si="126"/>
        <v>0.40647187995004236</v>
      </c>
      <c r="CR61" s="39">
        <f t="shared" si="126"/>
        <v>0.40647187995004236</v>
      </c>
      <c r="CS61" s="39">
        <f t="shared" si="126"/>
        <v>0.40647187995004236</v>
      </c>
      <c r="CT61" s="39">
        <f t="shared" si="126"/>
        <v>0.40647187995004236</v>
      </c>
      <c r="CU61" s="39">
        <f t="shared" si="126"/>
        <v>0.40647187995004236</v>
      </c>
      <c r="CV61" s="39">
        <f t="shared" si="126"/>
        <v>0.40647187995004236</v>
      </c>
      <c r="CW61" s="39">
        <f t="shared" si="126"/>
        <v>0.40647187995004236</v>
      </c>
      <c r="CX61" s="39">
        <f t="shared" si="126"/>
        <v>0.40647187995004236</v>
      </c>
      <c r="CY61" s="37">
        <f t="shared" si="126"/>
        <v>0.40647187995004236</v>
      </c>
      <c r="CZ61" s="29">
        <f t="shared" si="71"/>
        <v>100</v>
      </c>
      <c r="DB61" s="34"/>
      <c r="DC61" s="41">
        <v>2.6666666666666668E-2</v>
      </c>
      <c r="DD61" s="37">
        <f t="shared" si="72"/>
        <v>300</v>
      </c>
      <c r="DE61" s="39">
        <f t="shared" si="73"/>
        <v>193.50974946487889</v>
      </c>
      <c r="DF61" s="39">
        <f t="shared" si="74"/>
        <v>175.92934869622189</v>
      </c>
      <c r="DG61" s="39">
        <f t="shared" si="75"/>
        <v>170.11184272919033</v>
      </c>
      <c r="DH61" s="39">
        <f t="shared" si="76"/>
        <v>166.1307803704924</v>
      </c>
      <c r="DI61" s="39">
        <f t="shared" si="77"/>
        <v>162.4341831909727</v>
      </c>
      <c r="DJ61" s="39">
        <f t="shared" si="78"/>
        <v>158.7697046354304</v>
      </c>
      <c r="DK61" s="39">
        <f t="shared" si="79"/>
        <v>155.09386239041365</v>
      </c>
      <c r="DL61" s="39">
        <f t="shared" si="80"/>
        <v>151.397072446001</v>
      </c>
      <c r="DM61" s="39">
        <f t="shared" si="81"/>
        <v>147.67543517607186</v>
      </c>
      <c r="DN61" s="39">
        <f t="shared" si="82"/>
        <v>143.92620467788637</v>
      </c>
      <c r="DO61" s="39">
        <f t="shared" si="83"/>
        <v>140.1470805834048</v>
      </c>
      <c r="DP61" s="39">
        <f t="shared" si="84"/>
        <v>136.33611409675484</v>
      </c>
      <c r="DQ61" s="39">
        <f t="shared" si="85"/>
        <v>132.49171002364324</v>
      </c>
      <c r="DR61" s="39">
        <f t="shared" si="86"/>
        <v>128.61264098617795</v>
      </c>
      <c r="DS61" s="39">
        <f t="shared" si="87"/>
        <v>124.6980601641085</v>
      </c>
      <c r="DT61" s="39">
        <f t="shared" si="88"/>
        <v>120.74751025520388</v>
      </c>
      <c r="DU61" s="39">
        <f t="shared" si="89"/>
        <v>116.7609282165767</v>
      </c>
      <c r="DV61" s="39">
        <f t="shared" si="90"/>
        <v>112.73864568985606</v>
      </c>
      <c r="DW61" s="39">
        <f t="shared" si="91"/>
        <v>108.68138510801334</v>
      </c>
      <c r="DX61" s="39">
        <f t="shared" si="92"/>
        <v>104.59025153635936</v>
      </c>
      <c r="DY61" s="39">
        <f t="shared" si="93"/>
        <v>100.46672034749847</v>
      </c>
      <c r="DZ61" s="39">
        <f t="shared" si="94"/>
        <v>96.312620874711016</v>
      </c>
      <c r="EA61" s="39">
        <f t="shared" si="95"/>
        <v>92.13011623076396</v>
      </c>
      <c r="EB61" s="39">
        <f t="shared" si="96"/>
        <v>87.921679519263193</v>
      </c>
      <c r="EC61" s="39">
        <f t="shared" si="97"/>
        <v>83.690066703024371</v>
      </c>
      <c r="ED61" s="39">
        <f t="shared" si="98"/>
        <v>79.438286428241014</v>
      </c>
      <c r="EE61" s="39">
        <f t="shared" si="99"/>
        <v>75.169567134195376</v>
      </c>
      <c r="EF61" s="39">
        <f t="shared" si="100"/>
        <v>70.887321805652718</v>
      </c>
      <c r="EG61" s="39">
        <f t="shared" si="101"/>
        <v>66.595110748703945</v>
      </c>
      <c r="EH61" s="37">
        <f t="shared" si="102"/>
        <v>62.296602790510647</v>
      </c>
    </row>
    <row r="62" spans="5:138" x14ac:dyDescent="0.25">
      <c r="E62" s="32"/>
      <c r="F62" s="41">
        <v>2.3333333333333334E-2</v>
      </c>
      <c r="G62" s="33">
        <f t="shared" si="10"/>
        <v>300</v>
      </c>
      <c r="H62" s="35">
        <f t="shared" si="11"/>
        <v>293.9088940840046</v>
      </c>
      <c r="I62" s="35">
        <f t="shared" si="12"/>
        <v>287.81147253057532</v>
      </c>
      <c r="J62" s="35">
        <f t="shared" si="13"/>
        <v>281.70148932134032</v>
      </c>
      <c r="K62" s="35">
        <f t="shared" si="14"/>
        <v>275.57283689469466</v>
      </c>
      <c r="L62" s="35">
        <f t="shared" si="15"/>
        <v>269.41961343017084</v>
      </c>
      <c r="M62" s="35">
        <f t="shared" si="16"/>
        <v>263.2361878261238</v>
      </c>
      <c r="N62" s="35">
        <f t="shared" si="17"/>
        <v>257.01726164496745</v>
      </c>
      <c r="O62" s="35">
        <f t="shared" si="18"/>
        <v>250.75792733635137</v>
      </c>
      <c r="P62" s="35">
        <f t="shared" si="19"/>
        <v>244.45372209285176</v>
      </c>
      <c r="Q62" s="35">
        <f t="shared" si="20"/>
        <v>238.10067674433304</v>
      </c>
      <c r="R62" s="35">
        <f t="shared" si="21"/>
        <v>231.69535915539231</v>
      </c>
      <c r="S62" s="35">
        <f t="shared" si="22"/>
        <v>225.23491165440367</v>
      </c>
      <c r="T62" s="35">
        <f t="shared" si="23"/>
        <v>218.71708209177748</v>
      </c>
      <c r="U62" s="35">
        <f t="shared" si="24"/>
        <v>212.14024819820466</v>
      </c>
      <c r="V62" s="35">
        <f t="shared" si="25"/>
        <v>205.50343498993112</v>
      </c>
      <c r="W62" s="35">
        <f t="shared" si="26"/>
        <v>198.80632504653801</v>
      </c>
      <c r="X62" s="35">
        <f t="shared" si="27"/>
        <v>192.04926156633087</v>
      </c>
      <c r="Y62" s="35">
        <f t="shared" si="28"/>
        <v>185.23324418433376</v>
      </c>
      <c r="Z62" s="35">
        <f t="shared" si="29"/>
        <v>178.35991761713137</v>
      </c>
      <c r="AA62" s="35">
        <f t="shared" si="30"/>
        <v>171.43155327654102</v>
      </c>
      <c r="AB62" s="35">
        <f t="shared" si="31"/>
        <v>164.45102406951662</v>
      </c>
      <c r="AC62" s="35">
        <f t="shared" si="32"/>
        <v>157.42177267403252</v>
      </c>
      <c r="AD62" s="35">
        <f t="shared" si="33"/>
        <v>150.34777364927726</v>
      </c>
      <c r="AE62" s="35">
        <f t="shared" si="34"/>
        <v>143.23348980268136</v>
      </c>
      <c r="AF62" s="35">
        <f t="shared" si="35"/>
        <v>136.08382329555408</v>
      </c>
      <c r="AG62" s="35">
        <f t="shared" si="36"/>
        <v>128.90406202291894</v>
      </c>
      <c r="AH62" s="35">
        <f t="shared" si="37"/>
        <v>121.69982185109686</v>
      </c>
      <c r="AI62" s="35">
        <f t="shared" si="120"/>
        <v>114.47698533832633</v>
      </c>
      <c r="AJ62" s="35">
        <f t="shared" si="103"/>
        <v>107.24163759893037</v>
      </c>
      <c r="AK62" s="33">
        <f t="shared" si="39"/>
        <v>100</v>
      </c>
      <c r="AL62" s="34"/>
      <c r="AM62" s="30">
        <v>2.3333333333333334E-2</v>
      </c>
      <c r="AN62" s="37">
        <f t="shared" si="40"/>
        <v>-1076400000</v>
      </c>
      <c r="AO62" s="38">
        <f t="shared" si="104"/>
        <v>-1054571258.7123849</v>
      </c>
      <c r="AP62" s="38">
        <f t="shared" si="41"/>
        <v>-1032719568.6947397</v>
      </c>
      <c r="AQ62" s="38">
        <f t="shared" si="42"/>
        <v>-1010822234.2450495</v>
      </c>
      <c r="AR62" s="38">
        <f t="shared" si="43"/>
        <v>-988857062.87498021</v>
      </c>
      <c r="AS62" s="38">
        <f t="shared" si="44"/>
        <v>-966802609.84507906</v>
      </c>
      <c r="AT62" s="38">
        <f t="shared" si="45"/>
        <v>-944638414.3093648</v>
      </c>
      <c r="AU62" s="38">
        <f t="shared" si="46"/>
        <v>-922345224.42982626</v>
      </c>
      <c r="AV62" s="38">
        <f t="shared" si="47"/>
        <v>-899905208.95324695</v>
      </c>
      <c r="AW62" s="38">
        <f t="shared" si="48"/>
        <v>-877302152.9039309</v>
      </c>
      <c r="AX62" s="38">
        <f t="shared" si="49"/>
        <v>-854521635.23401427</v>
      </c>
      <c r="AY62" s="38">
        <f t="shared" si="50"/>
        <v>-831551186.48542595</v>
      </c>
      <c r="AZ62" s="38">
        <f t="shared" si="51"/>
        <v>-808380424.75117993</v>
      </c>
      <c r="BA62" s="38">
        <f t="shared" si="52"/>
        <v>-785001168.47541714</v>
      </c>
      <c r="BB62" s="38">
        <f t="shared" si="53"/>
        <v>-761407524.89801919</v>
      </c>
      <c r="BC62" s="38">
        <f t="shared" si="54"/>
        <v>-737595953.22726798</v>
      </c>
      <c r="BD62" s="38">
        <f t="shared" si="55"/>
        <v>-713565301.90938866</v>
      </c>
      <c r="BE62" s="38">
        <f t="shared" si="56"/>
        <v>-689316819.65340579</v>
      </c>
      <c r="BF62" s="38">
        <f t="shared" si="57"/>
        <v>-664854140.16013956</v>
      </c>
      <c r="BG62" s="38">
        <f t="shared" si="58"/>
        <v>-640183240.79209375</v>
      </c>
      <c r="BH62" s="38">
        <f t="shared" si="59"/>
        <v>-615312375.70326614</v>
      </c>
      <c r="BI62" s="38">
        <f t="shared" si="60"/>
        <v>-590251984.22164881</v>
      </c>
      <c r="BJ62" s="38">
        <f t="shared" si="61"/>
        <v>-565014575.53961158</v>
      </c>
      <c r="BK62" s="38">
        <f t="shared" si="62"/>
        <v>-539614591.01602721</v>
      </c>
      <c r="BL62" s="38">
        <f t="shared" si="63"/>
        <v>-514068245.62662077</v>
      </c>
      <c r="BM62" s="38">
        <f t="shared" si="64"/>
        <v>-488393350.31365091</v>
      </c>
      <c r="BN62" s="38">
        <f t="shared" si="65"/>
        <v>-462609117.18086708</v>
      </c>
      <c r="BO62" s="38">
        <f t="shared" si="66"/>
        <v>-436735949.6532622</v>
      </c>
      <c r="BP62" s="38">
        <f t="shared" si="67"/>
        <v>-410795219.87214422</v>
      </c>
      <c r="BQ62" s="38">
        <f t="shared" si="68"/>
        <v>-384809035.72343469</v>
      </c>
      <c r="BR62" s="37">
        <f t="shared" si="69"/>
        <v>-358800000</v>
      </c>
      <c r="BT62" s="34"/>
      <c r="BU62" s="41">
        <v>2.3333333333333334E-2</v>
      </c>
      <c r="BV62" s="37">
        <v>0</v>
      </c>
      <c r="BW62" s="39">
        <f t="shared" ref="BW62:CY62" si="127">$B$20/($B$21-$B$22*BV62)</f>
        <v>0.34883720930232553</v>
      </c>
      <c r="BX62" s="39">
        <f t="shared" si="127"/>
        <v>0.39716748768472904</v>
      </c>
      <c r="BY62" s="39">
        <f t="shared" si="127"/>
        <v>0.40494040593779607</v>
      </c>
      <c r="BZ62" s="39">
        <f t="shared" si="127"/>
        <v>0.4062190081621499</v>
      </c>
      <c r="CA62" s="39">
        <f t="shared" si="127"/>
        <v>0.40643010492156101</v>
      </c>
      <c r="CB62" s="39">
        <f t="shared" si="127"/>
        <v>0.40646497802255066</v>
      </c>
      <c r="CC62" s="39">
        <f t="shared" si="127"/>
        <v>0.40647073962099717</v>
      </c>
      <c r="CD62" s="39">
        <f t="shared" si="127"/>
        <v>0.40647169154566137</v>
      </c>
      <c r="CE62" s="39">
        <f t="shared" si="127"/>
        <v>0.40647184882198806</v>
      </c>
      <c r="CF62" s="39">
        <f t="shared" si="127"/>
        <v>0.40647187480708435</v>
      </c>
      <c r="CG62" s="39">
        <f t="shared" si="127"/>
        <v>0.40647187910032606</v>
      </c>
      <c r="CH62" s="39">
        <f t="shared" si="127"/>
        <v>0.40647187980965277</v>
      </c>
      <c r="CI62" s="39">
        <f t="shared" si="127"/>
        <v>0.4064718799268473</v>
      </c>
      <c r="CJ62" s="39">
        <f t="shared" si="127"/>
        <v>0.40647187994621015</v>
      </c>
      <c r="CK62" s="39">
        <f t="shared" si="127"/>
        <v>0.40647187994940925</v>
      </c>
      <c r="CL62" s="39">
        <f t="shared" si="127"/>
        <v>0.40647187994993778</v>
      </c>
      <c r="CM62" s="39">
        <f t="shared" si="127"/>
        <v>0.40647187995002515</v>
      </c>
      <c r="CN62" s="39">
        <f t="shared" si="127"/>
        <v>0.40647187995003953</v>
      </c>
      <c r="CO62" s="39">
        <f t="shared" si="127"/>
        <v>0.40647187995004191</v>
      </c>
      <c r="CP62" s="39">
        <f t="shared" si="127"/>
        <v>0.40647187995004236</v>
      </c>
      <c r="CQ62" s="39">
        <f t="shared" si="127"/>
        <v>0.40647187995004236</v>
      </c>
      <c r="CR62" s="39">
        <f t="shared" si="127"/>
        <v>0.40647187995004236</v>
      </c>
      <c r="CS62" s="39">
        <f t="shared" si="127"/>
        <v>0.40647187995004236</v>
      </c>
      <c r="CT62" s="39">
        <f t="shared" si="127"/>
        <v>0.40647187995004236</v>
      </c>
      <c r="CU62" s="39">
        <f t="shared" si="127"/>
        <v>0.40647187995004236</v>
      </c>
      <c r="CV62" s="39">
        <f t="shared" si="127"/>
        <v>0.40647187995004236</v>
      </c>
      <c r="CW62" s="39">
        <f t="shared" si="127"/>
        <v>0.40647187995004236</v>
      </c>
      <c r="CX62" s="39">
        <f t="shared" si="127"/>
        <v>0.40647187995004236</v>
      </c>
      <c r="CY62" s="37">
        <f t="shared" si="127"/>
        <v>0.40647187995004236</v>
      </c>
      <c r="CZ62" s="29">
        <f t="shared" si="71"/>
        <v>100</v>
      </c>
      <c r="DB62" s="34"/>
      <c r="DC62" s="41">
        <v>2.3333333333333334E-2</v>
      </c>
      <c r="DD62" s="37">
        <f t="shared" si="72"/>
        <v>300</v>
      </c>
      <c r="DE62" s="39">
        <f t="shared" si="73"/>
        <v>193.5095432012458</v>
      </c>
      <c r="DF62" s="39">
        <f t="shared" si="74"/>
        <v>175.92879973977205</v>
      </c>
      <c r="DG62" s="39">
        <f t="shared" si="75"/>
        <v>170.11091288377261</v>
      </c>
      <c r="DH62" s="39">
        <f t="shared" si="76"/>
        <v>166.12946874766081</v>
      </c>
      <c r="DI62" s="39">
        <f t="shared" si="77"/>
        <v>162.43250199284759</v>
      </c>
      <c r="DJ62" s="39">
        <f t="shared" si="78"/>
        <v>158.76767222018597</v>
      </c>
      <c r="DK62" s="39">
        <f t="shared" si="79"/>
        <v>155.09150145473245</v>
      </c>
      <c r="DL62" s="39">
        <f t="shared" si="80"/>
        <v>151.39440941263692</v>
      </c>
      <c r="DM62" s="39">
        <f t="shared" si="81"/>
        <v>147.67249981081616</v>
      </c>
      <c r="DN62" s="39">
        <f t="shared" si="82"/>
        <v>143.92302972433998</v>
      </c>
      <c r="DO62" s="39">
        <f t="shared" si="83"/>
        <v>140.14370137623092</v>
      </c>
      <c r="DP62" s="39">
        <f t="shared" si="84"/>
        <v>136.33256815007672</v>
      </c>
      <c r="DQ62" s="39">
        <f t="shared" si="85"/>
        <v>132.48803659850526</v>
      </c>
      <c r="DR62" s="39">
        <f t="shared" si="86"/>
        <v>128.60888064244358</v>
      </c>
      <c r="DS62" s="39">
        <f t="shared" si="87"/>
        <v>124.69425430243149</v>
      </c>
      <c r="DT62" s="39">
        <f t="shared" si="88"/>
        <v>120.74370065467417</v>
      </c>
      <c r="DU62" s="39">
        <f t="shared" si="89"/>
        <v>116.75715657348267</v>
      </c>
      <c r="DV62" s="39">
        <f t="shared" si="90"/>
        <v>112.7349531627642</v>
      </c>
      <c r="DW62" s="39">
        <f t="shared" si="91"/>
        <v>108.67781187405998</v>
      </c>
      <c r="DX62" s="39">
        <f t="shared" si="92"/>
        <v>104.58683636329495</v>
      </c>
      <c r="DY62" s="39">
        <f t="shared" si="93"/>
        <v>100.4635001856344</v>
      </c>
      <c r="DZ62" s="39">
        <f t="shared" si="94"/>
        <v>96.309630472507351</v>
      </c>
      <c r="EA62" s="39">
        <f t="shared" si="95"/>
        <v>92.127387777376143</v>
      </c>
      <c r="EB62" s="39">
        <f t="shared" si="96"/>
        <v>87.919242316948115</v>
      </c>
      <c r="EC62" s="39">
        <f t="shared" si="97"/>
        <v>83.68794687190136</v>
      </c>
      <c r="ED62" s="39">
        <f t="shared" si="98"/>
        <v>79.436506645518335</v>
      </c>
      <c r="EE62" s="39">
        <f t="shared" si="99"/>
        <v>75.168146409613911</v>
      </c>
      <c r="EF62" s="39">
        <f t="shared" si="100"/>
        <v>70.886275294567952</v>
      </c>
      <c r="EG62" s="39">
        <f t="shared" si="101"/>
        <v>66.594449603926122</v>
      </c>
      <c r="EH62" s="37">
        <f t="shared" si="102"/>
        <v>62.296334053749881</v>
      </c>
    </row>
    <row r="63" spans="5:138" x14ac:dyDescent="0.25">
      <c r="E63" s="32"/>
      <c r="F63" s="41">
        <v>0.02</v>
      </c>
      <c r="G63" s="33">
        <f t="shared" si="10"/>
        <v>300</v>
      </c>
      <c r="H63" s="35">
        <f t="shared" si="11"/>
        <v>293.90830164804726</v>
      </c>
      <c r="I63" s="35">
        <f t="shared" si="12"/>
        <v>287.81029432787352</v>
      </c>
      <c r="J63" s="35">
        <f t="shared" si="13"/>
        <v>281.69973860943099</v>
      </c>
      <c r="K63" s="35">
        <f t="shared" si="14"/>
        <v>275.57053335889145</v>
      </c>
      <c r="L63" s="35">
        <f t="shared" si="15"/>
        <v>269.4167829457906</v>
      </c>
      <c r="M63" s="35">
        <f t="shared" si="16"/>
        <v>263.23286214706314</v>
      </c>
      <c r="N63" s="35">
        <f t="shared" si="17"/>
        <v>257.01347802327041</v>
      </c>
      <c r="O63" s="35">
        <f t="shared" si="18"/>
        <v>250.7537280783647</v>
      </c>
      <c r="P63" s="35">
        <f t="shared" si="19"/>
        <v>244.44915405839913</v>
      </c>
      <c r="Q63" s="35">
        <f t="shared" si="20"/>
        <v>238.09579079603191</v>
      </c>
      <c r="R63" s="35">
        <f t="shared" si="21"/>
        <v>231.69020956578021</v>
      </c>
      <c r="S63" s="35">
        <f t="shared" si="22"/>
        <v>225.22955547892889</v>
      </c>
      <c r="T63" s="35">
        <f t="shared" si="23"/>
        <v>218.71157851593904</v>
      </c>
      <c r="U63" s="35">
        <f t="shared" si="24"/>
        <v>212.13465786720468</v>
      </c>
      <c r="V63" s="35">
        <f t="shared" si="25"/>
        <v>205.49781932913726</v>
      </c>
      <c r="W63" s="35">
        <f t="shared" si="26"/>
        <v>198.80074558085346</v>
      </c>
      <c r="X63" s="35">
        <f t="shared" si="27"/>
        <v>192.04377924625692</v>
      </c>
      <c r="Y63" s="35">
        <f t="shared" si="28"/>
        <v>185.227918726094</v>
      </c>
      <c r="Z63" s="35">
        <f t="shared" si="29"/>
        <v>178.35480686373455</v>
      </c>
      <c r="AA63" s="35">
        <f t="shared" si="30"/>
        <v>171.42671258610682</v>
      </c>
      <c r="AB63" s="35">
        <f t="shared" si="31"/>
        <v>164.44650573659692</v>
      </c>
      <c r="AC63" s="35">
        <f t="shared" si="32"/>
        <v>157.4176253890495</v>
      </c>
      <c r="AD63" s="35">
        <f t="shared" si="33"/>
        <v>150.34404200058503</v>
      </c>
      <c r="AE63" s="35">
        <f t="shared" si="34"/>
        <v>143.23021382515694</v>
      </c>
      <c r="AF63" s="35">
        <f t="shared" si="35"/>
        <v>136.0810380690456</v>
      </c>
      <c r="AG63" s="35">
        <f t="shared" si="36"/>
        <v>128.90179732333655</v>
      </c>
      <c r="AH63" s="35">
        <f t="shared" si="37"/>
        <v>121.69810185642777</v>
      </c>
      <c r="AI63" s="35">
        <f t="shared" si="120"/>
        <v>114.47582839139314</v>
      </c>
      <c r="AJ63" s="35">
        <f t="shared" si="103"/>
        <v>107.24105602829067</v>
      </c>
      <c r="AK63" s="33">
        <f t="shared" si="39"/>
        <v>100</v>
      </c>
      <c r="AL63" s="34"/>
      <c r="AM63" s="30">
        <v>0.02</v>
      </c>
      <c r="AN63" s="37">
        <f t="shared" si="40"/>
        <v>-1076400000</v>
      </c>
      <c r="AO63" s="38">
        <f t="shared" si="104"/>
        <v>-1054569105.4416287</v>
      </c>
      <c r="AP63" s="38">
        <f t="shared" si="41"/>
        <v>-1032715286.4172426</v>
      </c>
      <c r="AQ63" s="38">
        <f t="shared" si="42"/>
        <v>-1010815871.1935198</v>
      </c>
      <c r="AR63" s="38">
        <f t="shared" si="43"/>
        <v>-988848690.66470706</v>
      </c>
      <c r="AS63" s="38">
        <f t="shared" si="44"/>
        <v>-966792322.60599053</v>
      </c>
      <c r="AT63" s="38">
        <f t="shared" si="45"/>
        <v>-944626327.54943299</v>
      </c>
      <c r="AU63" s="38">
        <f t="shared" si="46"/>
        <v>-922331473.64690149</v>
      </c>
      <c r="AV63" s="38">
        <f t="shared" si="47"/>
        <v>-899889948.01592052</v>
      </c>
      <c r="AW63" s="38">
        <f t="shared" si="48"/>
        <v>-877285552.22507894</v>
      </c>
      <c r="AX63" s="38">
        <f t="shared" si="49"/>
        <v>-854503879.76320446</v>
      </c>
      <c r="AY63" s="38">
        <f t="shared" si="50"/>
        <v>-831532473.54834175</v>
      </c>
      <c r="AZ63" s="38">
        <f t="shared" si="51"/>
        <v>-808360961.76561046</v>
      </c>
      <c r="BA63" s="38">
        <f t="shared" si="52"/>
        <v>-784981170.57417142</v>
      </c>
      <c r="BB63" s="38">
        <f t="shared" si="53"/>
        <v>-761387212.48936975</v>
      </c>
      <c r="BC63" s="38">
        <f t="shared" si="54"/>
        <v>-737575549.52324021</v>
      </c>
      <c r="BD63" s="38">
        <f t="shared" si="55"/>
        <v>-713545030.45143712</v>
      </c>
      <c r="BE63" s="38">
        <f t="shared" si="56"/>
        <v>-689296901.86381471</v>
      </c>
      <c r="BF63" s="38">
        <f t="shared" si="57"/>
        <v>-664834792.9459188</v>
      </c>
      <c r="BG63" s="38">
        <f t="shared" si="58"/>
        <v>-640164674.22629035</v>
      </c>
      <c r="BH63" s="38">
        <f t="shared" si="59"/>
        <v>-615294790.80654347</v>
      </c>
      <c r="BI63" s="38">
        <f t="shared" si="60"/>
        <v>-590235570.86478531</v>
      </c>
      <c r="BJ63" s="38">
        <f t="shared" si="61"/>
        <v>-564999510.48530626</v>
      </c>
      <c r="BK63" s="38">
        <f t="shared" si="62"/>
        <v>-539601036.11612868</v>
      </c>
      <c r="BL63" s="38">
        <f t="shared" si="63"/>
        <v>-514056346.18869179</v>
      </c>
      <c r="BM63" s="38">
        <f t="shared" si="64"/>
        <v>-488383233.64867026</v>
      </c>
      <c r="BN63" s="38">
        <f t="shared" si="65"/>
        <v>-462600891.34189862</v>
      </c>
      <c r="BO63" s="38">
        <f t="shared" si="66"/>
        <v>-436729702.37310416</v>
      </c>
      <c r="BP63" s="38">
        <f t="shared" si="67"/>
        <v>-410791017.70631963</v>
      </c>
      <c r="BQ63" s="38">
        <f t="shared" si="68"/>
        <v>-384806923.40338618</v>
      </c>
      <c r="BR63" s="37">
        <f t="shared" si="69"/>
        <v>-358800000</v>
      </c>
      <c r="BT63" s="34"/>
      <c r="BU63" s="41">
        <v>0.02</v>
      </c>
      <c r="BV63" s="37">
        <v>0</v>
      </c>
      <c r="BW63" s="39">
        <f t="shared" ref="BW63:CY63" si="128">$B$20/($B$21-$B$22*BV63)</f>
        <v>0.34883720930232553</v>
      </c>
      <c r="BX63" s="39">
        <f t="shared" si="128"/>
        <v>0.39716748768472904</v>
      </c>
      <c r="BY63" s="39">
        <f t="shared" si="128"/>
        <v>0.40494040593779607</v>
      </c>
      <c r="BZ63" s="39">
        <f t="shared" si="128"/>
        <v>0.4062190081621499</v>
      </c>
      <c r="CA63" s="39">
        <f t="shared" si="128"/>
        <v>0.40643010492156101</v>
      </c>
      <c r="CB63" s="39">
        <f t="shared" si="128"/>
        <v>0.40646497802255066</v>
      </c>
      <c r="CC63" s="39">
        <f t="shared" si="128"/>
        <v>0.40647073962099717</v>
      </c>
      <c r="CD63" s="39">
        <f t="shared" si="128"/>
        <v>0.40647169154566137</v>
      </c>
      <c r="CE63" s="39">
        <f t="shared" si="128"/>
        <v>0.40647184882198806</v>
      </c>
      <c r="CF63" s="39">
        <f t="shared" si="128"/>
        <v>0.40647187480708435</v>
      </c>
      <c r="CG63" s="39">
        <f t="shared" si="128"/>
        <v>0.40647187910032606</v>
      </c>
      <c r="CH63" s="39">
        <f t="shared" si="128"/>
        <v>0.40647187980965277</v>
      </c>
      <c r="CI63" s="39">
        <f t="shared" si="128"/>
        <v>0.4064718799268473</v>
      </c>
      <c r="CJ63" s="39">
        <f t="shared" si="128"/>
        <v>0.40647187994621015</v>
      </c>
      <c r="CK63" s="39">
        <f t="shared" si="128"/>
        <v>0.40647187994940925</v>
      </c>
      <c r="CL63" s="39">
        <f t="shared" si="128"/>
        <v>0.40647187994993778</v>
      </c>
      <c r="CM63" s="39">
        <f t="shared" si="128"/>
        <v>0.40647187995002515</v>
      </c>
      <c r="CN63" s="39">
        <f t="shared" si="128"/>
        <v>0.40647187995003953</v>
      </c>
      <c r="CO63" s="39">
        <f t="shared" si="128"/>
        <v>0.40647187995004191</v>
      </c>
      <c r="CP63" s="39">
        <f t="shared" si="128"/>
        <v>0.40647187995004236</v>
      </c>
      <c r="CQ63" s="39">
        <f t="shared" si="128"/>
        <v>0.40647187995004236</v>
      </c>
      <c r="CR63" s="39">
        <f t="shared" si="128"/>
        <v>0.40647187995004236</v>
      </c>
      <c r="CS63" s="39">
        <f t="shared" si="128"/>
        <v>0.40647187995004236</v>
      </c>
      <c r="CT63" s="39">
        <f t="shared" si="128"/>
        <v>0.40647187995004236</v>
      </c>
      <c r="CU63" s="39">
        <f t="shared" si="128"/>
        <v>0.40647187995004236</v>
      </c>
      <c r="CV63" s="39">
        <f t="shared" si="128"/>
        <v>0.40647187995004236</v>
      </c>
      <c r="CW63" s="39">
        <f t="shared" si="128"/>
        <v>0.40647187995004236</v>
      </c>
      <c r="CX63" s="39">
        <f t="shared" si="128"/>
        <v>0.40647187995004236</v>
      </c>
      <c r="CY63" s="37">
        <f t="shared" si="128"/>
        <v>0.40647187995004236</v>
      </c>
      <c r="CZ63" s="29">
        <f t="shared" si="71"/>
        <v>100</v>
      </c>
      <c r="DB63" s="34"/>
      <c r="DC63" s="41">
        <v>0.02</v>
      </c>
      <c r="DD63" s="37">
        <f t="shared" si="72"/>
        <v>300</v>
      </c>
      <c r="DE63" s="39">
        <f t="shared" si="73"/>
        <v>193.50936176623094</v>
      </c>
      <c r="DF63" s="39">
        <f t="shared" si="74"/>
        <v>175.92831686292092</v>
      </c>
      <c r="DG63" s="39">
        <f t="shared" si="75"/>
        <v>170.1100949665865</v>
      </c>
      <c r="DH63" s="39">
        <f t="shared" si="76"/>
        <v>166.1283150084152</v>
      </c>
      <c r="DI63" s="39">
        <f t="shared" si="77"/>
        <v>162.4310231645569</v>
      </c>
      <c r="DJ63" s="39">
        <f t="shared" si="78"/>
        <v>158.76588445083524</v>
      </c>
      <c r="DK63" s="39">
        <f t="shared" si="79"/>
        <v>155.08942470853509</v>
      </c>
      <c r="DL63" s="39">
        <f t="shared" si="80"/>
        <v>151.39206693134122</v>
      </c>
      <c r="DM63" s="39">
        <f t="shared" si="81"/>
        <v>147.66991777680275</v>
      </c>
      <c r="DN63" s="39">
        <f t="shared" si="82"/>
        <v>143.92023693938296</v>
      </c>
      <c r="DO63" s="39">
        <f t="shared" si="83"/>
        <v>140.14072892132884</v>
      </c>
      <c r="DP63" s="39">
        <f t="shared" si="84"/>
        <v>136.32944902341868</v>
      </c>
      <c r="DQ63" s="39">
        <f t="shared" si="85"/>
        <v>132.48480533501777</v>
      </c>
      <c r="DR63" s="39">
        <f t="shared" si="86"/>
        <v>128.60557291964363</v>
      </c>
      <c r="DS63" s="39">
        <f t="shared" si="87"/>
        <v>124.69090653754353</v>
      </c>
      <c r="DT63" s="39">
        <f t="shared" si="88"/>
        <v>120.74034959793656</v>
      </c>
      <c r="DU63" s="39">
        <f t="shared" si="89"/>
        <v>116.75383890243103</v>
      </c>
      <c r="DV63" s="39">
        <f t="shared" si="90"/>
        <v>112.73170508206559</v>
      </c>
      <c r="DW63" s="39">
        <f t="shared" si="91"/>
        <v>108.67466872520419</v>
      </c>
      <c r="DX63" s="39">
        <f t="shared" si="92"/>
        <v>104.58383224813684</v>
      </c>
      <c r="DY63" s="39">
        <f t="shared" si="93"/>
        <v>100.46066760743845</v>
      </c>
      <c r="DZ63" s="39">
        <f t="shared" si="94"/>
        <v>96.306999997783578</v>
      </c>
      <c r="EA63" s="39">
        <f t="shared" si="95"/>
        <v>92.124987721426947</v>
      </c>
      <c r="EB63" s="39">
        <f t="shared" si="96"/>
        <v>87.917098455678683</v>
      </c>
      <c r="EC63" s="39">
        <f t="shared" si="97"/>
        <v>83.686082182089649</v>
      </c>
      <c r="ED63" s="39">
        <f t="shared" si="98"/>
        <v>79.434941075402605</v>
      </c>
      <c r="EE63" s="39">
        <f t="shared" si="99"/>
        <v>75.166896681339765</v>
      </c>
      <c r="EF63" s="39">
        <f t="shared" si="100"/>
        <v>70.885354739746006</v>
      </c>
      <c r="EG63" s="39">
        <f t="shared" si="101"/>
        <v>66.593868033286427</v>
      </c>
      <c r="EH63" s="37">
        <f t="shared" si="102"/>
        <v>62.29609766163864</v>
      </c>
    </row>
    <row r="64" spans="5:138" x14ac:dyDescent="0.25">
      <c r="E64" s="32"/>
      <c r="F64" s="41">
        <v>1.6666666666666666E-2</v>
      </c>
      <c r="G64" s="33">
        <f t="shared" si="10"/>
        <v>300</v>
      </c>
      <c r="H64" s="35">
        <f t="shared" si="11"/>
        <v>293.90779713056747</v>
      </c>
      <c r="I64" s="35">
        <f t="shared" si="12"/>
        <v>287.80929097228545</v>
      </c>
      <c r="J64" s="35">
        <f t="shared" si="13"/>
        <v>281.69824770559967</v>
      </c>
      <c r="K64" s="35">
        <f t="shared" si="14"/>
        <v>275.56857167046604</v>
      </c>
      <c r="L64" s="35">
        <f t="shared" si="15"/>
        <v>269.41437250773521</v>
      </c>
      <c r="M64" s="35">
        <f t="shared" si="16"/>
        <v>263.23003000047271</v>
      </c>
      <c r="N64" s="35">
        <f t="shared" si="17"/>
        <v>257.01025589142159</v>
      </c>
      <c r="O64" s="35">
        <f t="shared" si="18"/>
        <v>250.75015198876815</v>
      </c>
      <c r="P64" s="35">
        <f t="shared" si="19"/>
        <v>244.44526391632735</v>
      </c>
      <c r="Q64" s="35">
        <f t="shared" si="20"/>
        <v>238.0916299155885</v>
      </c>
      <c r="R64" s="35">
        <f t="shared" si="21"/>
        <v>231.6858241650379</v>
      </c>
      <c r="S64" s="35">
        <f t="shared" si="22"/>
        <v>225.22499414599474</v>
      </c>
      <c r="T64" s="35">
        <f t="shared" si="23"/>
        <v>218.70689165300087</v>
      </c>
      <c r="U64" s="35">
        <f t="shared" si="24"/>
        <v>212.12989711967964</v>
      </c>
      <c r="V64" s="35">
        <f t="shared" si="25"/>
        <v>205.49303700698772</v>
      </c>
      <c r="W64" s="35">
        <f t="shared" si="26"/>
        <v>198.79599407896686</v>
      </c>
      <c r="X64" s="35">
        <f t="shared" si="27"/>
        <v>192.03911047051707</v>
      </c>
      <c r="Y64" s="35">
        <f t="shared" si="28"/>
        <v>185.22338353142089</v>
      </c>
      <c r="Z64" s="35">
        <f t="shared" si="29"/>
        <v>178.3504545099488</v>
      </c>
      <c r="AA64" s="35">
        <f t="shared" si="30"/>
        <v>171.42259021700522</v>
      </c>
      <c r="AB64" s="35">
        <f t="shared" si="31"/>
        <v>164.4426578871221</v>
      </c>
      <c r="AC64" s="35">
        <f t="shared" si="32"/>
        <v>157.41409352491573</v>
      </c>
      <c r="AD64" s="35">
        <f t="shared" si="33"/>
        <v>150.34086409419999</v>
      </c>
      <c r="AE64" s="35">
        <f t="shared" si="34"/>
        <v>143.22742397116622</v>
      </c>
      <c r="AF64" s="35">
        <f t="shared" si="35"/>
        <v>136.07866614233617</v>
      </c>
      <c r="AG64" s="35">
        <f t="shared" si="36"/>
        <v>128.89986868187242</v>
      </c>
      <c r="AH64" s="35">
        <f t="shared" si="37"/>
        <v>121.696637090862</v>
      </c>
      <c r="AI64" s="35">
        <f t="shared" si="120"/>
        <v>114.47484312300698</v>
      </c>
      <c r="AJ64" s="35">
        <f t="shared" si="103"/>
        <v>107.24056075645129</v>
      </c>
      <c r="AK64" s="33">
        <f t="shared" si="39"/>
        <v>100</v>
      </c>
      <c r="AL64" s="34"/>
      <c r="AM64" s="30">
        <v>1.6666666666666666E-2</v>
      </c>
      <c r="AN64" s="37">
        <f t="shared" si="40"/>
        <v>-1076400000</v>
      </c>
      <c r="AO64" s="38">
        <f t="shared" si="104"/>
        <v>-1054567271.7203128</v>
      </c>
      <c r="AP64" s="38">
        <f t="shared" si="41"/>
        <v>-1032711639.637352</v>
      </c>
      <c r="AQ64" s="38">
        <f t="shared" si="42"/>
        <v>-1010810452.4290655</v>
      </c>
      <c r="AR64" s="38">
        <f t="shared" si="43"/>
        <v>-988841560.90188479</v>
      </c>
      <c r="AS64" s="38">
        <f t="shared" si="44"/>
        <v>-966783562.00411499</v>
      </c>
      <c r="AT64" s="38">
        <f t="shared" si="45"/>
        <v>-944616034.47310078</v>
      </c>
      <c r="AU64" s="38">
        <f t="shared" si="46"/>
        <v>-922319763.48393393</v>
      </c>
      <c r="AV64" s="38">
        <f t="shared" si="47"/>
        <v>-899876951.79861963</v>
      </c>
      <c r="AW64" s="38">
        <f t="shared" si="48"/>
        <v>-877271415.07493651</v>
      </c>
      <c r="AX64" s="38">
        <f t="shared" si="49"/>
        <v>-854488759.18135202</v>
      </c>
      <c r="AY64" s="38">
        <f t="shared" si="50"/>
        <v>-831516537.57571483</v>
      </c>
      <c r="AZ64" s="38">
        <f t="shared" si="51"/>
        <v>-808344387.03798556</v>
      </c>
      <c r="BA64" s="38">
        <f t="shared" si="52"/>
        <v>-784964140.29792249</v>
      </c>
      <c r="BB64" s="38">
        <f t="shared" si="53"/>
        <v>-761369914.36400521</v>
      </c>
      <c r="BC64" s="38">
        <f t="shared" si="54"/>
        <v>-737558173.63653386</v>
      </c>
      <c r="BD64" s="38">
        <f t="shared" si="55"/>
        <v>-713527767.17230904</v>
      </c>
      <c r="BE64" s="38">
        <f t="shared" si="56"/>
        <v>-689279939.7570914</v>
      </c>
      <c r="BF64" s="38">
        <f t="shared" si="57"/>
        <v>-664818316.73177433</v>
      </c>
      <c r="BG64" s="38">
        <f t="shared" si="58"/>
        <v>-640148862.80558836</v>
      </c>
      <c r="BH64" s="38">
        <f t="shared" si="59"/>
        <v>-615279815.37154448</v>
      </c>
      <c r="BI64" s="38">
        <f t="shared" si="60"/>
        <v>-590221593.1128124</v>
      </c>
      <c r="BJ64" s="38">
        <f t="shared" si="61"/>
        <v>-564986680.9510268</v>
      </c>
      <c r="BK64" s="38">
        <f t="shared" si="62"/>
        <v>-539589492.63618636</v>
      </c>
      <c r="BL64" s="38">
        <f t="shared" si="63"/>
        <v>-514046212.51054108</v>
      </c>
      <c r="BM64" s="38">
        <f t="shared" si="64"/>
        <v>-488374618.19366598</v>
      </c>
      <c r="BN64" s="38">
        <f t="shared" si="65"/>
        <v>-462593886.13102168</v>
      </c>
      <c r="BO64" s="38">
        <f t="shared" si="66"/>
        <v>-436724382.12214959</v>
      </c>
      <c r="BP64" s="38">
        <f t="shared" si="67"/>
        <v>-410787439.09596997</v>
      </c>
      <c r="BQ64" s="38">
        <f t="shared" si="68"/>
        <v>-384805124.52831507</v>
      </c>
      <c r="BR64" s="37">
        <f t="shared" si="69"/>
        <v>-358800000</v>
      </c>
      <c r="BT64" s="34"/>
      <c r="BU64" s="41">
        <v>1.6666666666666666E-2</v>
      </c>
      <c r="BV64" s="37">
        <v>0</v>
      </c>
      <c r="BW64" s="39">
        <f t="shared" ref="BW64:CY64" si="129">$B$20/($B$21-$B$22*BV64)</f>
        <v>0.34883720930232553</v>
      </c>
      <c r="BX64" s="39">
        <f t="shared" si="129"/>
        <v>0.39716748768472904</v>
      </c>
      <c r="BY64" s="39">
        <f t="shared" si="129"/>
        <v>0.40494040593779607</v>
      </c>
      <c r="BZ64" s="39">
        <f t="shared" si="129"/>
        <v>0.4062190081621499</v>
      </c>
      <c r="CA64" s="39">
        <f t="shared" si="129"/>
        <v>0.40643010492156101</v>
      </c>
      <c r="CB64" s="39">
        <f t="shared" si="129"/>
        <v>0.40646497802255066</v>
      </c>
      <c r="CC64" s="39">
        <f t="shared" si="129"/>
        <v>0.40647073962099717</v>
      </c>
      <c r="CD64" s="39">
        <f t="shared" si="129"/>
        <v>0.40647169154566137</v>
      </c>
      <c r="CE64" s="39">
        <f t="shared" si="129"/>
        <v>0.40647184882198806</v>
      </c>
      <c r="CF64" s="39">
        <f t="shared" si="129"/>
        <v>0.40647187480708435</v>
      </c>
      <c r="CG64" s="39">
        <f t="shared" si="129"/>
        <v>0.40647187910032606</v>
      </c>
      <c r="CH64" s="39">
        <f t="shared" si="129"/>
        <v>0.40647187980965277</v>
      </c>
      <c r="CI64" s="39">
        <f t="shared" si="129"/>
        <v>0.4064718799268473</v>
      </c>
      <c r="CJ64" s="39">
        <f t="shared" si="129"/>
        <v>0.40647187994621015</v>
      </c>
      <c r="CK64" s="39">
        <f t="shared" si="129"/>
        <v>0.40647187994940925</v>
      </c>
      <c r="CL64" s="39">
        <f t="shared" si="129"/>
        <v>0.40647187994993778</v>
      </c>
      <c r="CM64" s="39">
        <f t="shared" si="129"/>
        <v>0.40647187995002515</v>
      </c>
      <c r="CN64" s="39">
        <f t="shared" si="129"/>
        <v>0.40647187995003953</v>
      </c>
      <c r="CO64" s="39">
        <f t="shared" si="129"/>
        <v>0.40647187995004191</v>
      </c>
      <c r="CP64" s="39">
        <f t="shared" si="129"/>
        <v>0.40647187995004236</v>
      </c>
      <c r="CQ64" s="39">
        <f t="shared" si="129"/>
        <v>0.40647187995004236</v>
      </c>
      <c r="CR64" s="39">
        <f t="shared" si="129"/>
        <v>0.40647187995004236</v>
      </c>
      <c r="CS64" s="39">
        <f t="shared" si="129"/>
        <v>0.40647187995004236</v>
      </c>
      <c r="CT64" s="39">
        <f t="shared" si="129"/>
        <v>0.40647187995004236</v>
      </c>
      <c r="CU64" s="39">
        <f t="shared" si="129"/>
        <v>0.40647187995004236</v>
      </c>
      <c r="CV64" s="39">
        <f t="shared" si="129"/>
        <v>0.40647187995004236</v>
      </c>
      <c r="CW64" s="39">
        <f t="shared" si="129"/>
        <v>0.40647187995004236</v>
      </c>
      <c r="CX64" s="39">
        <f t="shared" si="129"/>
        <v>0.40647187995004236</v>
      </c>
      <c r="CY64" s="37">
        <f t="shared" si="129"/>
        <v>0.40647187995004236</v>
      </c>
      <c r="CZ64" s="29">
        <f t="shared" si="71"/>
        <v>100</v>
      </c>
      <c r="DB64" s="34"/>
      <c r="DC64" s="41">
        <v>1.6666666666666666E-2</v>
      </c>
      <c r="DD64" s="37">
        <f t="shared" si="72"/>
        <v>300</v>
      </c>
      <c r="DE64" s="39">
        <f t="shared" si="73"/>
        <v>193.5092072565144</v>
      </c>
      <c r="DF64" s="39">
        <f t="shared" si="74"/>
        <v>175.92790564586196</v>
      </c>
      <c r="DG64" s="39">
        <f t="shared" si="75"/>
        <v>170.10939842966249</v>
      </c>
      <c r="DH64" s="39">
        <f t="shared" si="76"/>
        <v>166.12733248574585</v>
      </c>
      <c r="DI64" s="39">
        <f t="shared" si="77"/>
        <v>162.42976379613742</v>
      </c>
      <c r="DJ64" s="39">
        <f t="shared" si="78"/>
        <v>158.7643619879959</v>
      </c>
      <c r="DK64" s="39">
        <f t="shared" si="79"/>
        <v>155.08765615246955</v>
      </c>
      <c r="DL64" s="39">
        <f t="shared" si="80"/>
        <v>151.39007207437294</v>
      </c>
      <c r="DM64" s="39">
        <f t="shared" si="81"/>
        <v>147.66771891549755</v>
      </c>
      <c r="DN64" s="39">
        <f t="shared" si="82"/>
        <v>143.91785860100106</v>
      </c>
      <c r="DO64" s="39">
        <f t="shared" si="83"/>
        <v>140.13819757415547</v>
      </c>
      <c r="DP64" s="39">
        <f t="shared" si="84"/>
        <v>136.32679276847344</v>
      </c>
      <c r="DQ64" s="39">
        <f t="shared" si="85"/>
        <v>132.48205358207599</v>
      </c>
      <c r="DR64" s="39">
        <f t="shared" si="86"/>
        <v>128.60275605159322</v>
      </c>
      <c r="DS64" s="39">
        <f t="shared" si="87"/>
        <v>124.68805556729845</v>
      </c>
      <c r="DT64" s="39">
        <f t="shared" si="88"/>
        <v>120.73749582210201</v>
      </c>
      <c r="DU64" s="39">
        <f t="shared" si="89"/>
        <v>116.75101355579591</v>
      </c>
      <c r="DV64" s="39">
        <f t="shared" si="90"/>
        <v>112.72893899681799</v>
      </c>
      <c r="DW64" s="39">
        <f t="shared" si="91"/>
        <v>108.67199199853702</v>
      </c>
      <c r="DX64" s="39">
        <f t="shared" si="92"/>
        <v>104.58127392164506</v>
      </c>
      <c r="DY64" s="39">
        <f t="shared" si="93"/>
        <v>100.45825536141781</v>
      </c>
      <c r="DZ64" s="39">
        <f t="shared" si="94"/>
        <v>96.304759863232448</v>
      </c>
      <c r="EA64" s="39">
        <f t="shared" si="95"/>
        <v>92.12294381223829</v>
      </c>
      <c r="EB64" s="39">
        <f t="shared" si="96"/>
        <v>87.915272723196651</v>
      </c>
      <c r="EC64" s="39">
        <f t="shared" si="97"/>
        <v>83.684494193901898</v>
      </c>
      <c r="ED64" s="39">
        <f t="shared" si="98"/>
        <v>79.433607819951703</v>
      </c>
      <c r="EE64" s="39">
        <f t="shared" si="99"/>
        <v>75.165832399667181</v>
      </c>
      <c r="EF64" s="39">
        <f t="shared" si="100"/>
        <v>70.884570785435486</v>
      </c>
      <c r="EG64" s="39">
        <f t="shared" si="101"/>
        <v>66.593372761447043</v>
      </c>
      <c r="EH64" s="37">
        <f t="shared" si="102"/>
        <v>62.295896347563001</v>
      </c>
    </row>
    <row r="65" spans="5:138" x14ac:dyDescent="0.25">
      <c r="E65" s="32"/>
      <c r="F65" s="41">
        <v>1.3333333333333334E-2</v>
      </c>
      <c r="G65" s="33">
        <f t="shared" si="10"/>
        <v>300</v>
      </c>
      <c r="H65" s="35">
        <f t="shared" si="11"/>
        <v>293.90738635539589</v>
      </c>
      <c r="I65" s="35">
        <f t="shared" si="12"/>
        <v>287.80847404597239</v>
      </c>
      <c r="J65" s="35">
        <f t="shared" si="13"/>
        <v>281.69703382012938</v>
      </c>
      <c r="K65" s="35">
        <f t="shared" si="14"/>
        <v>275.566974474478</v>
      </c>
      <c r="L65" s="35">
        <f t="shared" si="15"/>
        <v>269.41240994168737</v>
      </c>
      <c r="M65" s="35">
        <f t="shared" si="16"/>
        <v>263.22772408074559</v>
      </c>
      <c r="N65" s="35">
        <f t="shared" si="17"/>
        <v>257.00763244657941</v>
      </c>
      <c r="O65" s="35">
        <f t="shared" si="18"/>
        <v>250.74724035185585</v>
      </c>
      <c r="P65" s="35">
        <f t="shared" si="19"/>
        <v>244.44209657766015</v>
      </c>
      <c r="Q65" s="35">
        <f t="shared" si="20"/>
        <v>238.08824214097172</v>
      </c>
      <c r="R65" s="35">
        <f t="shared" si="21"/>
        <v>231.68225358473063</v>
      </c>
      <c r="S65" s="35">
        <f t="shared" si="22"/>
        <v>225.22128032000035</v>
      </c>
      <c r="T65" s="35">
        <f t="shared" si="23"/>
        <v>218.70307561842691</v>
      </c>
      <c r="U65" s="35">
        <f t="shared" si="24"/>
        <v>212.12602092596478</v>
      </c>
      <c r="V65" s="35">
        <f t="shared" si="25"/>
        <v>205.48914324474691</v>
      </c>
      <c r="W65" s="35">
        <f t="shared" si="26"/>
        <v>198.79212540806947</v>
      </c>
      <c r="X65" s="35">
        <f t="shared" si="27"/>
        <v>192.03530915279487</v>
      </c>
      <c r="Y65" s="35">
        <f t="shared" si="28"/>
        <v>185.21969097311566</v>
      </c>
      <c r="Z65" s="35">
        <f t="shared" si="29"/>
        <v>178.34691081866833</v>
      </c>
      <c r="AA65" s="35">
        <f t="shared" si="30"/>
        <v>171.41923377757365</v>
      </c>
      <c r="AB65" s="35">
        <f t="shared" si="31"/>
        <v>164.43952496030073</v>
      </c>
      <c r="AC65" s="35">
        <f t="shared" si="32"/>
        <v>157.41121787254727</v>
      </c>
      <c r="AD65" s="35">
        <f t="shared" si="33"/>
        <v>150.33827663390244</v>
      </c>
      <c r="AE65" s="35">
        <f t="shared" si="34"/>
        <v>143.2251524632872</v>
      </c>
      <c r="AF65" s="35">
        <f t="shared" si="35"/>
        <v>136.0767349114769</v>
      </c>
      <c r="AG65" s="35">
        <f t="shared" si="36"/>
        <v>128.89829837491513</v>
      </c>
      <c r="AH65" s="35">
        <f t="shared" si="37"/>
        <v>121.69544447308462</v>
      </c>
      <c r="AI65" s="35">
        <f t="shared" si="120"/>
        <v>114.47404091354855</v>
      </c>
      <c r="AJ65" s="35">
        <f t="shared" si="103"/>
        <v>107.24015750409873</v>
      </c>
      <c r="AK65" s="33">
        <f t="shared" si="39"/>
        <v>100</v>
      </c>
      <c r="AL65" s="34"/>
      <c r="AM65" s="30">
        <v>1.3333333333333334E-2</v>
      </c>
      <c r="AN65" s="37">
        <f t="shared" si="40"/>
        <v>-1076400000</v>
      </c>
      <c r="AO65" s="38">
        <f t="shared" si="104"/>
        <v>-1054565778.7155126</v>
      </c>
      <c r="AP65" s="38">
        <f t="shared" si="41"/>
        <v>-1032708670.4509257</v>
      </c>
      <c r="AQ65" s="38">
        <f t="shared" si="42"/>
        <v>-1010806040.5026307</v>
      </c>
      <c r="AR65" s="38">
        <f t="shared" si="43"/>
        <v>-988835755.88918436</v>
      </c>
      <c r="AS65" s="38">
        <f t="shared" si="44"/>
        <v>-966776429.16931987</v>
      </c>
      <c r="AT65" s="38">
        <f t="shared" si="45"/>
        <v>-944607653.90286422</v>
      </c>
      <c r="AU65" s="38">
        <f t="shared" si="46"/>
        <v>-922310229.12503421</v>
      </c>
      <c r="AV65" s="38">
        <f t="shared" si="47"/>
        <v>-899866370.33547342</v>
      </c>
      <c r="AW65" s="38">
        <f t="shared" si="48"/>
        <v>-877259904.66336477</v>
      </c>
      <c r="AX65" s="38">
        <f t="shared" si="49"/>
        <v>-854476448.05675447</v>
      </c>
      <c r="AY65" s="38">
        <f t="shared" si="50"/>
        <v>-831503562.5551585</v>
      </c>
      <c r="AZ65" s="38">
        <f t="shared" si="51"/>
        <v>-808330891.936692</v>
      </c>
      <c r="BA65" s="38">
        <f t="shared" si="52"/>
        <v>-784950274.28119516</v>
      </c>
      <c r="BB65" s="38">
        <f t="shared" si="53"/>
        <v>-761355830.25581062</v>
      </c>
      <c r="BC65" s="38">
        <f t="shared" si="54"/>
        <v>-737544026.20575452</v>
      </c>
      <c r="BD65" s="38">
        <f t="shared" si="55"/>
        <v>-713513711.41714561</v>
      </c>
      <c r="BE65" s="38">
        <f t="shared" si="56"/>
        <v>-689266129.20726311</v>
      </c>
      <c r="BF65" s="38">
        <f t="shared" si="57"/>
        <v>-664804901.7870791</v>
      </c>
      <c r="BG65" s="38">
        <f t="shared" si="58"/>
        <v>-640135989.1281023</v>
      </c>
      <c r="BH65" s="38">
        <f t="shared" si="59"/>
        <v>-615267622.34731209</v>
      </c>
      <c r="BI65" s="38">
        <f t="shared" si="60"/>
        <v>-590210212.39734888</v>
      </c>
      <c r="BJ65" s="38">
        <f t="shared" si="61"/>
        <v>-564976235.11138988</v>
      </c>
      <c r="BK65" s="38">
        <f t="shared" si="62"/>
        <v>-539580093.90079975</v>
      </c>
      <c r="BL65" s="38">
        <f t="shared" si="63"/>
        <v>-514037961.63642222</v>
      </c>
      <c r="BM65" s="38">
        <f t="shared" si="64"/>
        <v>-488367603.45925039</v>
      </c>
      <c r="BN65" s="38">
        <f t="shared" si="65"/>
        <v>-462588182.46140802</v>
      </c>
      <c r="BO65" s="38">
        <f t="shared" si="66"/>
        <v>-436720050.35232872</v>
      </c>
      <c r="BP65" s="38">
        <f t="shared" si="67"/>
        <v>-410784525.37645513</v>
      </c>
      <c r="BQ65" s="38">
        <f t="shared" si="68"/>
        <v>-384803659.87655288</v>
      </c>
      <c r="BR65" s="37">
        <f t="shared" si="69"/>
        <v>-358800000</v>
      </c>
      <c r="BT65" s="34"/>
      <c r="BU65" s="41">
        <v>1.3333333333333334E-2</v>
      </c>
      <c r="BV65" s="37">
        <v>0</v>
      </c>
      <c r="BW65" s="39">
        <f t="shared" ref="BW65:CY65" si="130">$B$20/($B$21-$B$22*BV65)</f>
        <v>0.34883720930232553</v>
      </c>
      <c r="BX65" s="39">
        <f t="shared" si="130"/>
        <v>0.39716748768472904</v>
      </c>
      <c r="BY65" s="39">
        <f t="shared" si="130"/>
        <v>0.40494040593779607</v>
      </c>
      <c r="BZ65" s="39">
        <f t="shared" si="130"/>
        <v>0.4062190081621499</v>
      </c>
      <c r="CA65" s="39">
        <f t="shared" si="130"/>
        <v>0.40643010492156101</v>
      </c>
      <c r="CB65" s="39">
        <f t="shared" si="130"/>
        <v>0.40646497802255066</v>
      </c>
      <c r="CC65" s="39">
        <f t="shared" si="130"/>
        <v>0.40647073962099717</v>
      </c>
      <c r="CD65" s="39">
        <f t="shared" si="130"/>
        <v>0.40647169154566137</v>
      </c>
      <c r="CE65" s="39">
        <f t="shared" si="130"/>
        <v>0.40647184882198806</v>
      </c>
      <c r="CF65" s="39">
        <f t="shared" si="130"/>
        <v>0.40647187480708435</v>
      </c>
      <c r="CG65" s="39">
        <f t="shared" si="130"/>
        <v>0.40647187910032606</v>
      </c>
      <c r="CH65" s="39">
        <f t="shared" si="130"/>
        <v>0.40647187980965277</v>
      </c>
      <c r="CI65" s="39">
        <f t="shared" si="130"/>
        <v>0.4064718799268473</v>
      </c>
      <c r="CJ65" s="39">
        <f t="shared" si="130"/>
        <v>0.40647187994621015</v>
      </c>
      <c r="CK65" s="39">
        <f t="shared" si="130"/>
        <v>0.40647187994940925</v>
      </c>
      <c r="CL65" s="39">
        <f t="shared" si="130"/>
        <v>0.40647187994993778</v>
      </c>
      <c r="CM65" s="39">
        <f t="shared" si="130"/>
        <v>0.40647187995002515</v>
      </c>
      <c r="CN65" s="39">
        <f t="shared" si="130"/>
        <v>0.40647187995003953</v>
      </c>
      <c r="CO65" s="39">
        <f t="shared" si="130"/>
        <v>0.40647187995004191</v>
      </c>
      <c r="CP65" s="39">
        <f t="shared" si="130"/>
        <v>0.40647187995004236</v>
      </c>
      <c r="CQ65" s="39">
        <f t="shared" si="130"/>
        <v>0.40647187995004236</v>
      </c>
      <c r="CR65" s="39">
        <f t="shared" si="130"/>
        <v>0.40647187995004236</v>
      </c>
      <c r="CS65" s="39">
        <f t="shared" si="130"/>
        <v>0.40647187995004236</v>
      </c>
      <c r="CT65" s="39">
        <f t="shared" si="130"/>
        <v>0.40647187995004236</v>
      </c>
      <c r="CU65" s="39">
        <f t="shared" si="130"/>
        <v>0.40647187995004236</v>
      </c>
      <c r="CV65" s="39">
        <f t="shared" si="130"/>
        <v>0.40647187995004236</v>
      </c>
      <c r="CW65" s="39">
        <f t="shared" si="130"/>
        <v>0.40647187995004236</v>
      </c>
      <c r="CX65" s="39">
        <f t="shared" si="130"/>
        <v>0.40647187995004236</v>
      </c>
      <c r="CY65" s="37">
        <f t="shared" si="130"/>
        <v>0.40647187995004236</v>
      </c>
      <c r="CZ65" s="29">
        <f t="shared" si="71"/>
        <v>100</v>
      </c>
      <c r="DB65" s="34"/>
      <c r="DC65" s="41">
        <v>1.3333333333333334E-2</v>
      </c>
      <c r="DD65" s="37">
        <f t="shared" si="72"/>
        <v>300</v>
      </c>
      <c r="DE65" s="39">
        <f t="shared" si="73"/>
        <v>193.50908145563807</v>
      </c>
      <c r="DF65" s="39">
        <f t="shared" si="74"/>
        <v>175.92757083539144</v>
      </c>
      <c r="DG65" s="39">
        <f t="shared" si="75"/>
        <v>170.10883131338394</v>
      </c>
      <c r="DH65" s="39">
        <f t="shared" si="76"/>
        <v>166.12653252139125</v>
      </c>
      <c r="DI65" s="39">
        <f t="shared" si="77"/>
        <v>162.42873842528621</v>
      </c>
      <c r="DJ65" s="39">
        <f t="shared" si="78"/>
        <v>158.76312240671894</v>
      </c>
      <c r="DK65" s="39">
        <f t="shared" si="79"/>
        <v>155.08621620283662</v>
      </c>
      <c r="DL65" s="39">
        <f t="shared" si="80"/>
        <v>151.38844787096639</v>
      </c>
      <c r="DM65" s="39">
        <f t="shared" si="81"/>
        <v>147.66592861184222</v>
      </c>
      <c r="DN65" s="39">
        <f t="shared" si="82"/>
        <v>143.91592216685592</v>
      </c>
      <c r="DO65" s="39">
        <f t="shared" si="83"/>
        <v>140.13613655967882</v>
      </c>
      <c r="DP65" s="39">
        <f t="shared" si="84"/>
        <v>136.32463005322572</v>
      </c>
      <c r="DQ65" s="39">
        <f t="shared" si="85"/>
        <v>132.47981311124826</v>
      </c>
      <c r="DR65" s="39">
        <f t="shared" si="86"/>
        <v>128.60046256273645</v>
      </c>
      <c r="DS65" s="39">
        <f t="shared" si="87"/>
        <v>124.68573431099018</v>
      </c>
      <c r="DT65" s="39">
        <f t="shared" si="88"/>
        <v>120.73517227996544</v>
      </c>
      <c r="DU65" s="39">
        <f t="shared" si="89"/>
        <v>116.74871315918986</v>
      </c>
      <c r="DV65" s="39">
        <f t="shared" si="90"/>
        <v>112.7266868493695</v>
      </c>
      <c r="DW65" s="39">
        <f t="shared" si="91"/>
        <v>108.66981260550226</v>
      </c>
      <c r="DX65" s="39">
        <f t="shared" si="92"/>
        <v>104.57919092886831</v>
      </c>
      <c r="DY65" s="39">
        <f t="shared" si="93"/>
        <v>100.45629130642075</v>
      </c>
      <c r="DZ65" s="39">
        <f t="shared" si="94"/>
        <v>96.302935940715415</v>
      </c>
      <c r="EA65" s="39">
        <f t="shared" si="95"/>
        <v>92.121279656018658</v>
      </c>
      <c r="EB65" s="39">
        <f t="shared" si="96"/>
        <v>87.913786206355638</v>
      </c>
      <c r="EC65" s="39">
        <f t="shared" si="97"/>
        <v>83.683201248663664</v>
      </c>
      <c r="ED65" s="39">
        <f t="shared" si="98"/>
        <v>79.432522278584429</v>
      </c>
      <c r="EE65" s="39">
        <f t="shared" si="99"/>
        <v>75.164965857476474</v>
      </c>
      <c r="EF65" s="39">
        <f t="shared" si="100"/>
        <v>70.883932486718891</v>
      </c>
      <c r="EG65" s="39">
        <f t="shared" si="101"/>
        <v>66.592969509094502</v>
      </c>
      <c r="EH65" s="37">
        <f t="shared" si="102"/>
        <v>62.295732436821176</v>
      </c>
    </row>
    <row r="66" spans="5:138" x14ac:dyDescent="0.25">
      <c r="E66" s="32"/>
      <c r="F66" s="41">
        <v>0.01</v>
      </c>
      <c r="G66" s="33">
        <f t="shared" si="10"/>
        <v>300</v>
      </c>
      <c r="H66" s="35">
        <f t="shared" si="11"/>
        <v>293.90707405985358</v>
      </c>
      <c r="I66" s="35">
        <f t="shared" si="12"/>
        <v>287.8078529702999</v>
      </c>
      <c r="J66" s="35">
        <f t="shared" si="13"/>
        <v>281.69611095252134</v>
      </c>
      <c r="K66" s="35">
        <f t="shared" si="14"/>
        <v>275.56576019130068</v>
      </c>
      <c r="L66" s="35">
        <f t="shared" si="15"/>
        <v>269.4109178821675</v>
      </c>
      <c r="M66" s="35">
        <f t="shared" si="16"/>
        <v>263.22597098284336</v>
      </c>
      <c r="N66" s="35">
        <f t="shared" si="17"/>
        <v>257.00563794648929</v>
      </c>
      <c r="O66" s="35">
        <f t="shared" si="18"/>
        <v>250.74502675008466</v>
      </c>
      <c r="P66" s="35">
        <f t="shared" si="19"/>
        <v>244.43968857506979</v>
      </c>
      <c r="Q66" s="35">
        <f t="shared" si="20"/>
        <v>238.08566654853934</v>
      </c>
      <c r="R66" s="35">
        <f t="shared" si="21"/>
        <v>231.67953901106631</v>
      </c>
      <c r="S66" s="35">
        <f t="shared" si="22"/>
        <v>225.2184568408656</v>
      </c>
      <c r="T66" s="35">
        <f t="shared" si="23"/>
        <v>218.70017443261943</v>
      </c>
      <c r="U66" s="35">
        <f t="shared" si="24"/>
        <v>212.12307400197679</v>
      </c>
      <c r="V66" s="35">
        <f t="shared" si="25"/>
        <v>205.4861829625693</v>
      </c>
      <c r="W66" s="35">
        <f t="shared" si="26"/>
        <v>198.78918420041009</v>
      </c>
      <c r="X66" s="35">
        <f t="shared" si="27"/>
        <v>192.03241914981373</v>
      </c>
      <c r="Y66" s="35">
        <f t="shared" si="28"/>
        <v>185.21688365456191</v>
      </c>
      <c r="Z66" s="35">
        <f t="shared" si="29"/>
        <v>178.34421667704501</v>
      </c>
      <c r="AA66" s="35">
        <f t="shared" si="30"/>
        <v>171.41668199566413</v>
      </c>
      <c r="AB66" s="35">
        <f t="shared" si="31"/>
        <v>164.43714310608118</v>
      </c>
      <c r="AC66" s="35">
        <f t="shared" si="32"/>
        <v>157.40903161418566</v>
      </c>
      <c r="AD66" s="35">
        <f t="shared" si="33"/>
        <v>150.33630947722247</v>
      </c>
      <c r="AE66" s="35">
        <f t="shared" si="34"/>
        <v>143.22342551375743</v>
      </c>
      <c r="AF66" s="35">
        <f t="shared" si="35"/>
        <v>136.07526666248236</v>
      </c>
      <c r="AG66" s="35">
        <f t="shared" si="36"/>
        <v>128.89710452378159</v>
      </c>
      <c r="AH66" s="35">
        <f t="shared" si="37"/>
        <v>121.69453776606034</v>
      </c>
      <c r="AI66" s="35">
        <f t="shared" si="120"/>
        <v>114.47343102070458</v>
      </c>
      <c r="AJ66" s="35">
        <f t="shared" si="103"/>
        <v>107.2398509248863</v>
      </c>
      <c r="AK66" s="33">
        <f t="shared" si="39"/>
        <v>100</v>
      </c>
      <c r="AL66" s="34"/>
      <c r="AM66" s="30">
        <v>0.01</v>
      </c>
      <c r="AN66" s="37">
        <f t="shared" si="40"/>
        <v>-1076400000</v>
      </c>
      <c r="AO66" s="38">
        <f t="shared" si="104"/>
        <v>-1054564643.6453012</v>
      </c>
      <c r="AP66" s="38">
        <f t="shared" si="41"/>
        <v>-1032706413.1002871</v>
      </c>
      <c r="AQ66" s="38">
        <f t="shared" si="42"/>
        <v>-1010802686.2954965</v>
      </c>
      <c r="AR66" s="38">
        <f t="shared" si="43"/>
        <v>-988831342.57474518</v>
      </c>
      <c r="AS66" s="38">
        <f t="shared" si="44"/>
        <v>-966771006.36460769</v>
      </c>
      <c r="AT66" s="38">
        <f t="shared" si="45"/>
        <v>-944601282.49374557</v>
      </c>
      <c r="AU66" s="38">
        <f t="shared" si="46"/>
        <v>-922302980.53461242</v>
      </c>
      <c r="AV66" s="38">
        <f t="shared" si="47"/>
        <v>-899858325.67075062</v>
      </c>
      <c r="AW66" s="38">
        <f t="shared" si="48"/>
        <v>-877251153.75262499</v>
      </c>
      <c r="AX66" s="38">
        <f t="shared" si="49"/>
        <v>-854467088.39146137</v>
      </c>
      <c r="AY66" s="38">
        <f t="shared" si="50"/>
        <v>-831493698.15119874</v>
      </c>
      <c r="AZ66" s="38">
        <f t="shared" si="51"/>
        <v>-808320632.13053417</v>
      </c>
      <c r="BA66" s="38">
        <f t="shared" si="52"/>
        <v>-784939732.47696006</v>
      </c>
      <c r="BB66" s="38">
        <f t="shared" si="53"/>
        <v>-761345122.63937926</v>
      </c>
      <c r="BC66" s="38">
        <f t="shared" si="54"/>
        <v>-737533270.44189072</v>
      </c>
      <c r="BD66" s="38">
        <f t="shared" si="55"/>
        <v>-713503025.34520137</v>
      </c>
      <c r="BE66" s="38">
        <f t="shared" si="56"/>
        <v>-689255629.55040503</v>
      </c>
      <c r="BF66" s="38">
        <f t="shared" si="57"/>
        <v>-664794702.88914609</v>
      </c>
      <c r="BG66" s="38">
        <f t="shared" si="58"/>
        <v>-640126201.73123443</v>
      </c>
      <c r="BH66" s="38">
        <f t="shared" si="59"/>
        <v>-615258352.42239928</v>
      </c>
      <c r="BI66" s="38">
        <f t="shared" si="60"/>
        <v>-590201560.03819335</v>
      </c>
      <c r="BJ66" s="38">
        <f t="shared" si="61"/>
        <v>-564968293.50227845</v>
      </c>
      <c r="BK66" s="38">
        <f t="shared" si="62"/>
        <v>-539572948.36599219</v>
      </c>
      <c r="BL66" s="38">
        <f t="shared" si="63"/>
        <v>-514031688.77889532</v>
      </c>
      <c r="BM66" s="38">
        <f t="shared" si="64"/>
        <v>-488362270.39492941</v>
      </c>
      <c r="BN66" s="38">
        <f t="shared" si="65"/>
        <v>-462583846.15407318</v>
      </c>
      <c r="BO66" s="38">
        <f t="shared" si="66"/>
        <v>-436716757.05343145</v>
      </c>
      <c r="BP66" s="38">
        <f t="shared" si="67"/>
        <v>-410782310.17320305</v>
      </c>
      <c r="BQ66" s="38">
        <f t="shared" si="68"/>
        <v>-384802546.35083359</v>
      </c>
      <c r="BR66" s="37">
        <f t="shared" si="69"/>
        <v>-358800000</v>
      </c>
      <c r="BT66" s="34"/>
      <c r="BU66" s="41">
        <v>0.01</v>
      </c>
      <c r="BV66" s="37">
        <v>0</v>
      </c>
      <c r="BW66" s="39">
        <f t="shared" ref="BW66:CY66" si="131">$B$20/($B$21-$B$22*BV66)</f>
        <v>0.34883720930232553</v>
      </c>
      <c r="BX66" s="39">
        <f t="shared" si="131"/>
        <v>0.39716748768472904</v>
      </c>
      <c r="BY66" s="39">
        <f t="shared" si="131"/>
        <v>0.40494040593779607</v>
      </c>
      <c r="BZ66" s="39">
        <f t="shared" si="131"/>
        <v>0.4062190081621499</v>
      </c>
      <c r="CA66" s="39">
        <f t="shared" si="131"/>
        <v>0.40643010492156101</v>
      </c>
      <c r="CB66" s="39">
        <f t="shared" si="131"/>
        <v>0.40646497802255066</v>
      </c>
      <c r="CC66" s="39">
        <f t="shared" si="131"/>
        <v>0.40647073962099717</v>
      </c>
      <c r="CD66" s="39">
        <f t="shared" si="131"/>
        <v>0.40647169154566137</v>
      </c>
      <c r="CE66" s="39">
        <f t="shared" si="131"/>
        <v>0.40647184882198806</v>
      </c>
      <c r="CF66" s="39">
        <f t="shared" si="131"/>
        <v>0.40647187480708435</v>
      </c>
      <c r="CG66" s="39">
        <f t="shared" si="131"/>
        <v>0.40647187910032606</v>
      </c>
      <c r="CH66" s="39">
        <f t="shared" si="131"/>
        <v>0.40647187980965277</v>
      </c>
      <c r="CI66" s="39">
        <f t="shared" si="131"/>
        <v>0.4064718799268473</v>
      </c>
      <c r="CJ66" s="39">
        <f t="shared" si="131"/>
        <v>0.40647187994621015</v>
      </c>
      <c r="CK66" s="39">
        <f t="shared" si="131"/>
        <v>0.40647187994940925</v>
      </c>
      <c r="CL66" s="39">
        <f t="shared" si="131"/>
        <v>0.40647187994993778</v>
      </c>
      <c r="CM66" s="39">
        <f t="shared" si="131"/>
        <v>0.40647187995002515</v>
      </c>
      <c r="CN66" s="39">
        <f t="shared" si="131"/>
        <v>0.40647187995003953</v>
      </c>
      <c r="CO66" s="39">
        <f t="shared" si="131"/>
        <v>0.40647187995004191</v>
      </c>
      <c r="CP66" s="39">
        <f t="shared" si="131"/>
        <v>0.40647187995004236</v>
      </c>
      <c r="CQ66" s="39">
        <f t="shared" si="131"/>
        <v>0.40647187995004236</v>
      </c>
      <c r="CR66" s="39">
        <f t="shared" si="131"/>
        <v>0.40647187995004236</v>
      </c>
      <c r="CS66" s="39">
        <f t="shared" si="131"/>
        <v>0.40647187995004236</v>
      </c>
      <c r="CT66" s="39">
        <f t="shared" si="131"/>
        <v>0.40647187995004236</v>
      </c>
      <c r="CU66" s="39">
        <f t="shared" si="131"/>
        <v>0.40647187995004236</v>
      </c>
      <c r="CV66" s="39">
        <f t="shared" si="131"/>
        <v>0.40647187995004236</v>
      </c>
      <c r="CW66" s="39">
        <f t="shared" si="131"/>
        <v>0.40647187995004236</v>
      </c>
      <c r="CX66" s="39">
        <f t="shared" si="131"/>
        <v>0.40647187995004236</v>
      </c>
      <c r="CY66" s="37">
        <f t="shared" si="131"/>
        <v>0.40647187995004236</v>
      </c>
      <c r="CZ66" s="29">
        <f t="shared" si="71"/>
        <v>100</v>
      </c>
      <c r="DB66" s="34"/>
      <c r="DC66" s="41">
        <v>0.01</v>
      </c>
      <c r="DD66" s="37">
        <f t="shared" si="72"/>
        <v>300</v>
      </c>
      <c r="DE66" s="39">
        <f t="shared" si="73"/>
        <v>193.50898581440018</v>
      </c>
      <c r="DF66" s="39">
        <f t="shared" si="74"/>
        <v>175.92731629272834</v>
      </c>
      <c r="DG66" s="39">
        <f t="shared" si="75"/>
        <v>170.10840015809868</v>
      </c>
      <c r="DH66" s="39">
        <f t="shared" si="76"/>
        <v>166.1259243411522</v>
      </c>
      <c r="DI66" s="39">
        <f t="shared" si="77"/>
        <v>162.4279588775307</v>
      </c>
      <c r="DJ66" s="39">
        <f t="shared" si="78"/>
        <v>158.76218000325196</v>
      </c>
      <c r="DK66" s="39">
        <f t="shared" si="79"/>
        <v>155.08512146709563</v>
      </c>
      <c r="DL66" s="39">
        <f t="shared" si="80"/>
        <v>151.38721305408137</v>
      </c>
      <c r="DM66" s="39">
        <f t="shared" si="81"/>
        <v>147.66456751506965</v>
      </c>
      <c r="DN66" s="39">
        <f t="shared" si="82"/>
        <v>143.91444997227018</v>
      </c>
      <c r="DO66" s="39">
        <f t="shared" si="83"/>
        <v>140.134569650884</v>
      </c>
      <c r="DP66" s="39">
        <f t="shared" si="84"/>
        <v>136.32298582453981</v>
      </c>
      <c r="DQ66" s="39">
        <f t="shared" si="85"/>
        <v>132.47810976717417</v>
      </c>
      <c r="DR66" s="39">
        <f t="shared" si="86"/>
        <v>128.59871891021035</v>
      </c>
      <c r="DS66" s="39">
        <f t="shared" si="87"/>
        <v>124.6839695470192</v>
      </c>
      <c r="DT66" s="39">
        <f t="shared" si="88"/>
        <v>120.73340577725087</v>
      </c>
      <c r="DU66" s="39">
        <f t="shared" si="89"/>
        <v>116.74696425225885</v>
      </c>
      <c r="DV66" s="39">
        <f t="shared" si="90"/>
        <v>112.72497462362625</v>
      </c>
      <c r="DW66" s="39">
        <f t="shared" si="91"/>
        <v>108.66815569146891</v>
      </c>
      <c r="DX66" s="39">
        <f t="shared" si="92"/>
        <v>104.57760730372117</v>
      </c>
      <c r="DY66" s="39">
        <f t="shared" si="93"/>
        <v>100.45479810474747</v>
      </c>
      <c r="DZ66" s="39">
        <f t="shared" si="94"/>
        <v>96.301549276227661</v>
      </c>
      <c r="EA66" s="39">
        <f t="shared" si="95"/>
        <v>92.120014455760625</v>
      </c>
      <c r="EB66" s="39">
        <f t="shared" si="96"/>
        <v>87.912656058754891</v>
      </c>
      <c r="EC66" s="39">
        <f t="shared" si="97"/>
        <v>83.68221826658376</v>
      </c>
      <c r="ED66" s="39">
        <f t="shared" si="98"/>
        <v>79.431696978359611</v>
      </c>
      <c r="EE66" s="39">
        <f t="shared" si="99"/>
        <v>75.164307054743048</v>
      </c>
      <c r="EF66" s="39">
        <f t="shared" si="100"/>
        <v>70.88344720970376</v>
      </c>
      <c r="EG66" s="39">
        <f t="shared" si="101"/>
        <v>66.592662929882053</v>
      </c>
      <c r="EH66" s="37">
        <f t="shared" si="102"/>
        <v>62.295607820992345</v>
      </c>
    </row>
    <row r="67" spans="5:138" x14ac:dyDescent="0.25">
      <c r="E67" s="32"/>
      <c r="F67" s="41">
        <v>6.6666666666666671E-3</v>
      </c>
      <c r="G67" s="33">
        <f t="shared" si="10"/>
        <v>300</v>
      </c>
      <c r="H67" s="35">
        <f t="shared" si="11"/>
        <v>293.9068638428829</v>
      </c>
      <c r="I67" s="35">
        <f t="shared" si="12"/>
        <v>287.80743490268071</v>
      </c>
      <c r="J67" s="35">
        <f t="shared" si="13"/>
        <v>281.69548973820389</v>
      </c>
      <c r="K67" s="35">
        <f t="shared" si="14"/>
        <v>275.56494281491155</v>
      </c>
      <c r="L67" s="35">
        <f t="shared" si="15"/>
        <v>269.40991352466159</v>
      </c>
      <c r="M67" s="35">
        <f t="shared" si="16"/>
        <v>263.224790911029</v>
      </c>
      <c r="N67" s="35">
        <f t="shared" si="17"/>
        <v>257.00429537807076</v>
      </c>
      <c r="O67" s="35">
        <f t="shared" si="18"/>
        <v>250.74353669620703</v>
      </c>
      <c r="P67" s="35">
        <f t="shared" si="19"/>
        <v>244.43806766264601</v>
      </c>
      <c r="Q67" s="35">
        <f t="shared" si="20"/>
        <v>238.08393282488584</v>
      </c>
      <c r="R67" s="35">
        <f t="shared" si="21"/>
        <v>231.67771173356607</v>
      </c>
      <c r="S67" s="35">
        <f t="shared" si="22"/>
        <v>225.21655625451424</v>
      </c>
      <c r="T67" s="35">
        <f t="shared" si="23"/>
        <v>218.69822153839385</v>
      </c>
      <c r="U67" s="35">
        <f t="shared" si="24"/>
        <v>212.12109031899146</v>
      </c>
      <c r="V67" s="35">
        <f t="shared" si="25"/>
        <v>205.48419028696421</v>
      </c>
      <c r="W67" s="35">
        <f t="shared" si="26"/>
        <v>198.7872043638427</v>
      </c>
      <c r="X67" s="35">
        <f t="shared" si="27"/>
        <v>192.0304737803171</v>
      </c>
      <c r="Y67" s="35">
        <f t="shared" si="28"/>
        <v>185.2149939423839</v>
      </c>
      <c r="Z67" s="35">
        <f t="shared" si="29"/>
        <v>178.34240314790895</v>
      </c>
      <c r="AA67" s="35">
        <f t="shared" si="30"/>
        <v>171.41496429369644</v>
      </c>
      <c r="AB67" s="35">
        <f t="shared" si="31"/>
        <v>164.43553978844034</v>
      </c>
      <c r="AC67" s="35">
        <f t="shared" si="32"/>
        <v>157.4075599592118</v>
      </c>
      <c r="AD67" s="35">
        <f t="shared" si="33"/>
        <v>150.33498530770817</v>
      </c>
      <c r="AE67" s="35">
        <f t="shared" si="34"/>
        <v>143.22226303672727</v>
      </c>
      <c r="AF67" s="35">
        <f t="shared" si="35"/>
        <v>136.07427832666403</v>
      </c>
      <c r="AG67" s="35">
        <f t="shared" si="36"/>
        <v>128.89630089575869</v>
      </c>
      <c r="AH67" s="35">
        <f t="shared" si="37"/>
        <v>121.69392742591813</v>
      </c>
      <c r="AI67" s="35">
        <f t="shared" si="120"/>
        <v>114.47302047781578</v>
      </c>
      <c r="AJ67" s="35">
        <f t="shared" si="103"/>
        <v>107.23964455433429</v>
      </c>
      <c r="AK67" s="33">
        <f t="shared" si="39"/>
        <v>100</v>
      </c>
      <c r="AL67" s="34"/>
      <c r="AM67" s="30">
        <v>6.6666666666666671E-3</v>
      </c>
      <c r="AN67" s="37">
        <f t="shared" si="40"/>
        <v>-1076400000</v>
      </c>
      <c r="AO67" s="38">
        <f t="shared" si="104"/>
        <v>-1054563879.5902363</v>
      </c>
      <c r="AP67" s="38">
        <f t="shared" si="41"/>
        <v>-1032704893.5993152</v>
      </c>
      <c r="AQ67" s="38">
        <f t="shared" si="42"/>
        <v>-1010800428.4621722</v>
      </c>
      <c r="AR67" s="38">
        <f t="shared" si="43"/>
        <v>-988828371.81910741</v>
      </c>
      <c r="AS67" s="38">
        <f t="shared" si="44"/>
        <v>-966767356.08529007</v>
      </c>
      <c r="AT67" s="38">
        <f t="shared" si="45"/>
        <v>-944596993.67478001</v>
      </c>
      <c r="AU67" s="38">
        <f t="shared" si="46"/>
        <v>-922298101.25298643</v>
      </c>
      <c r="AV67" s="38">
        <f t="shared" si="47"/>
        <v>-899852910.52201784</v>
      </c>
      <c r="AW67" s="38">
        <f t="shared" si="48"/>
        <v>-877245263.20295811</v>
      </c>
      <c r="AX67" s="38">
        <f t="shared" si="49"/>
        <v>-854460788.0654273</v>
      </c>
      <c r="AY67" s="38">
        <f t="shared" si="50"/>
        <v>-831487058.06524539</v>
      </c>
      <c r="AZ67" s="38">
        <f t="shared" si="51"/>
        <v>-808313725.88266122</v>
      </c>
      <c r="BA67" s="38">
        <f t="shared" si="52"/>
        <v>-784932636.40334463</v>
      </c>
      <c r="BB67" s="38">
        <f t="shared" si="53"/>
        <v>-761337914.94880855</v>
      </c>
      <c r="BC67" s="38">
        <f t="shared" si="54"/>
        <v>-737526030.33875775</v>
      </c>
      <c r="BD67" s="38">
        <f t="shared" si="55"/>
        <v>-713495832.15154064</v>
      </c>
      <c r="BE67" s="38">
        <f t="shared" si="56"/>
        <v>-689248561.83702505</v>
      </c>
      <c r="BF67" s="38">
        <f t="shared" si="57"/>
        <v>-664787837.62535632</v>
      </c>
      <c r="BG67" s="38">
        <f t="shared" si="58"/>
        <v>-640119613.46201122</v>
      </c>
      <c r="BH67" s="38">
        <f t="shared" si="59"/>
        <v>-615252112.48110318</v>
      </c>
      <c r="BI67" s="38">
        <f t="shared" si="60"/>
        <v>-590195735.80216992</v>
      </c>
      <c r="BJ67" s="38">
        <f t="shared" si="61"/>
        <v>-564962947.69787085</v>
      </c>
      <c r="BK67" s="38">
        <f t="shared" si="62"/>
        <v>-539568138.42869294</v>
      </c>
      <c r="BL67" s="38">
        <f t="shared" si="63"/>
        <v>-514027466.27357829</v>
      </c>
      <c r="BM67" s="38">
        <f t="shared" si="64"/>
        <v>-488358680.50035709</v>
      </c>
      <c r="BN67" s="38">
        <f t="shared" si="65"/>
        <v>-462580927.2151742</v>
      </c>
      <c r="BO67" s="38">
        <f t="shared" si="66"/>
        <v>-436714540.2041983</v>
      </c>
      <c r="BP67" s="38">
        <f t="shared" si="67"/>
        <v>-410780819.03247279</v>
      </c>
      <c r="BQ67" s="38">
        <f t="shared" si="68"/>
        <v>-384801796.79268217</v>
      </c>
      <c r="BR67" s="37">
        <f t="shared" si="69"/>
        <v>-358800000</v>
      </c>
      <c r="BT67" s="34"/>
      <c r="BU67" s="41">
        <v>6.6666666666666671E-3</v>
      </c>
      <c r="BV67" s="37">
        <v>0</v>
      </c>
      <c r="BW67" s="39">
        <f t="shared" ref="BW67:CY67" si="132">$B$20/($B$21-$B$22*BV67)</f>
        <v>0.34883720930232553</v>
      </c>
      <c r="BX67" s="39">
        <f t="shared" si="132"/>
        <v>0.39716748768472904</v>
      </c>
      <c r="BY67" s="39">
        <f t="shared" si="132"/>
        <v>0.40494040593779607</v>
      </c>
      <c r="BZ67" s="39">
        <f t="shared" si="132"/>
        <v>0.4062190081621499</v>
      </c>
      <c r="CA67" s="39">
        <f t="shared" si="132"/>
        <v>0.40643010492156101</v>
      </c>
      <c r="CB67" s="39">
        <f t="shared" si="132"/>
        <v>0.40646497802255066</v>
      </c>
      <c r="CC67" s="39">
        <f t="shared" si="132"/>
        <v>0.40647073962099717</v>
      </c>
      <c r="CD67" s="39">
        <f t="shared" si="132"/>
        <v>0.40647169154566137</v>
      </c>
      <c r="CE67" s="39">
        <f t="shared" si="132"/>
        <v>0.40647184882198806</v>
      </c>
      <c r="CF67" s="39">
        <f t="shared" si="132"/>
        <v>0.40647187480708435</v>
      </c>
      <c r="CG67" s="39">
        <f t="shared" si="132"/>
        <v>0.40647187910032606</v>
      </c>
      <c r="CH67" s="39">
        <f t="shared" si="132"/>
        <v>0.40647187980965277</v>
      </c>
      <c r="CI67" s="39">
        <f t="shared" si="132"/>
        <v>0.4064718799268473</v>
      </c>
      <c r="CJ67" s="39">
        <f t="shared" si="132"/>
        <v>0.40647187994621015</v>
      </c>
      <c r="CK67" s="39">
        <f t="shared" si="132"/>
        <v>0.40647187994940925</v>
      </c>
      <c r="CL67" s="39">
        <f t="shared" si="132"/>
        <v>0.40647187994993778</v>
      </c>
      <c r="CM67" s="39">
        <f t="shared" si="132"/>
        <v>0.40647187995002515</v>
      </c>
      <c r="CN67" s="39">
        <f t="shared" si="132"/>
        <v>0.40647187995003953</v>
      </c>
      <c r="CO67" s="39">
        <f t="shared" si="132"/>
        <v>0.40647187995004191</v>
      </c>
      <c r="CP67" s="39">
        <f t="shared" si="132"/>
        <v>0.40647187995004236</v>
      </c>
      <c r="CQ67" s="39">
        <f t="shared" si="132"/>
        <v>0.40647187995004236</v>
      </c>
      <c r="CR67" s="39">
        <f t="shared" si="132"/>
        <v>0.40647187995004236</v>
      </c>
      <c r="CS67" s="39">
        <f t="shared" si="132"/>
        <v>0.40647187995004236</v>
      </c>
      <c r="CT67" s="39">
        <f t="shared" si="132"/>
        <v>0.40647187995004236</v>
      </c>
      <c r="CU67" s="39">
        <f t="shared" si="132"/>
        <v>0.40647187995004236</v>
      </c>
      <c r="CV67" s="39">
        <f t="shared" si="132"/>
        <v>0.40647187995004236</v>
      </c>
      <c r="CW67" s="39">
        <f t="shared" si="132"/>
        <v>0.40647187995004236</v>
      </c>
      <c r="CX67" s="39">
        <f t="shared" si="132"/>
        <v>0.40647187995004236</v>
      </c>
      <c r="CY67" s="37">
        <f t="shared" si="132"/>
        <v>0.40647187995004236</v>
      </c>
      <c r="CZ67" s="29">
        <f t="shared" si="71"/>
        <v>100</v>
      </c>
      <c r="DB67" s="34"/>
      <c r="DC67" s="41">
        <v>6.6666666666666671E-3</v>
      </c>
      <c r="DD67" s="37">
        <f t="shared" si="72"/>
        <v>300</v>
      </c>
      <c r="DE67" s="39">
        <f t="shared" si="73"/>
        <v>193.50892143497106</v>
      </c>
      <c r="DF67" s="39">
        <f t="shared" si="74"/>
        <v>175.92714495123889</v>
      </c>
      <c r="DG67" s="39">
        <f t="shared" si="75"/>
        <v>170.10810993250806</v>
      </c>
      <c r="DH67" s="39">
        <f t="shared" si="76"/>
        <v>166.12551495387294</v>
      </c>
      <c r="DI67" s="39">
        <f t="shared" si="77"/>
        <v>162.42743413673611</v>
      </c>
      <c r="DJ67" s="39">
        <f t="shared" si="78"/>
        <v>158.76154563848036</v>
      </c>
      <c r="DK67" s="39">
        <f t="shared" si="79"/>
        <v>155.08438456197885</v>
      </c>
      <c r="DL67" s="39">
        <f t="shared" si="80"/>
        <v>151.38638185521847</v>
      </c>
      <c r="DM67" s="39">
        <f t="shared" si="81"/>
        <v>147.66365131250464</v>
      </c>
      <c r="DN67" s="39">
        <f t="shared" si="82"/>
        <v>143.913458985528</v>
      </c>
      <c r="DO67" s="39">
        <f t="shared" si="83"/>
        <v>140.13351490828936</v>
      </c>
      <c r="DP67" s="39">
        <f t="shared" si="84"/>
        <v>136.32187903477541</v>
      </c>
      <c r="DQ67" s="39">
        <f t="shared" si="85"/>
        <v>132.47696318430081</v>
      </c>
      <c r="DR67" s="39">
        <f t="shared" si="86"/>
        <v>128.59754519382435</v>
      </c>
      <c r="DS67" s="39">
        <f t="shared" si="87"/>
        <v>124.68278161930566</v>
      </c>
      <c r="DT67" s="39">
        <f t="shared" si="88"/>
        <v>120.73221667867996</v>
      </c>
      <c r="DU67" s="39">
        <f t="shared" si="89"/>
        <v>116.74578699762378</v>
      </c>
      <c r="DV67" s="39">
        <f t="shared" si="90"/>
        <v>112.72382206004548</v>
      </c>
      <c r="DW67" s="39">
        <f t="shared" si="91"/>
        <v>108.66704035988086</v>
      </c>
      <c r="DX67" s="39">
        <f t="shared" si="92"/>
        <v>104.57654130528911</v>
      </c>
      <c r="DY67" s="39">
        <f t="shared" si="93"/>
        <v>100.4537929734705</v>
      </c>
      <c r="DZ67" s="39">
        <f t="shared" si="94"/>
        <v>96.300615858925653</v>
      </c>
      <c r="EA67" s="39">
        <f t="shared" si="95"/>
        <v>92.119162800470164</v>
      </c>
      <c r="EB67" s="39">
        <f t="shared" si="96"/>
        <v>87.911895312442823</v>
      </c>
      <c r="EC67" s="39">
        <f t="shared" si="97"/>
        <v>83.681556582958663</v>
      </c>
      <c r="ED67" s="39">
        <f t="shared" si="98"/>
        <v>79.43114143644172</v>
      </c>
      <c r="EE67" s="39">
        <f t="shared" si="99"/>
        <v>75.163863588740654</v>
      </c>
      <c r="EF67" s="39">
        <f t="shared" si="100"/>
        <v>70.883120550641195</v>
      </c>
      <c r="EG67" s="39">
        <f t="shared" si="101"/>
        <v>66.592456559330046</v>
      </c>
      <c r="EH67" s="37">
        <f t="shared" si="102"/>
        <v>62.295523937166095</v>
      </c>
    </row>
    <row r="68" spans="5:138" x14ac:dyDescent="0.25">
      <c r="E68" s="32"/>
      <c r="F68" s="41">
        <v>3.3333333333333335E-3</v>
      </c>
      <c r="G68" s="33">
        <f t="shared" si="10"/>
        <v>300</v>
      </c>
      <c r="H68" s="35">
        <f t="shared" si="11"/>
        <v>293.90675812576757</v>
      </c>
      <c r="I68" s="35">
        <f t="shared" si="12"/>
        <v>287.80722465845503</v>
      </c>
      <c r="J68" s="35">
        <f t="shared" si="13"/>
        <v>281.69517733244811</v>
      </c>
      <c r="K68" s="35">
        <f t="shared" si="14"/>
        <v>275.56453176014105</v>
      </c>
      <c r="L68" s="35">
        <f t="shared" si="15"/>
        <v>269.40940843790997</v>
      </c>
      <c r="M68" s="35">
        <f t="shared" si="16"/>
        <v>263.22419745829217</v>
      </c>
      <c r="N68" s="35">
        <f t="shared" si="17"/>
        <v>257.003620206439</v>
      </c>
      <c r="O68" s="35">
        <f t="shared" si="18"/>
        <v>250.74278735468323</v>
      </c>
      <c r="P68" s="35">
        <f t="shared" si="19"/>
        <v>244.43725251279693</v>
      </c>
      <c r="Q68" s="35">
        <f t="shared" si="20"/>
        <v>238.08306094259592</v>
      </c>
      <c r="R68" s="35">
        <f t="shared" si="21"/>
        <v>231.67679280326161</v>
      </c>
      <c r="S68" s="35">
        <f t="shared" si="22"/>
        <v>225.21560045729427</v>
      </c>
      <c r="T68" s="35">
        <f t="shared" si="23"/>
        <v>218.69723943554459</v>
      </c>
      <c r="U68" s="35">
        <f t="shared" si="24"/>
        <v>212.12009273237715</v>
      </c>
      <c r="V68" s="35">
        <f t="shared" si="25"/>
        <v>205.48318817777334</v>
      </c>
      <c r="W68" s="35">
        <f t="shared" si="26"/>
        <v>198.7862087111352</v>
      </c>
      <c r="X68" s="35">
        <f t="shared" si="27"/>
        <v>192.02949546076053</v>
      </c>
      <c r="Y68" s="35">
        <f t="shared" si="28"/>
        <v>185.21404361249449</v>
      </c>
      <c r="Z68" s="35">
        <f t="shared" si="29"/>
        <v>178.34149113002451</v>
      </c>
      <c r="AA68" s="35">
        <f t="shared" si="30"/>
        <v>171.41410046680997</v>
      </c>
      <c r="AB68" s="35">
        <f t="shared" si="31"/>
        <v>164.43473348491844</v>
      </c>
      <c r="AC68" s="35">
        <f t="shared" si="32"/>
        <v>157.40681986831203</v>
      </c>
      <c r="AD68" s="35">
        <f t="shared" si="33"/>
        <v>150.3343193867006</v>
      </c>
      <c r="AE68" s="35">
        <f t="shared" si="34"/>
        <v>143.22167843031815</v>
      </c>
      <c r="AF68" s="35">
        <f t="shared" si="35"/>
        <v>136.07378129531668</v>
      </c>
      <c r="AG68" s="35">
        <f t="shared" si="36"/>
        <v>128.89589675340909</v>
      </c>
      <c r="AH68" s="35">
        <f t="shared" si="37"/>
        <v>121.69362048749387</v>
      </c>
      <c r="AI68" s="35">
        <f t="shared" si="120"/>
        <v>114.47281401688358</v>
      </c>
      <c r="AJ68" s="35">
        <f t="shared" si="103"/>
        <v>107.23954077112623</v>
      </c>
      <c r="AK68" s="33">
        <f t="shared" si="39"/>
        <v>100</v>
      </c>
      <c r="AL68" s="34"/>
      <c r="AM68" s="30">
        <v>3.3333333333333335E-3</v>
      </c>
      <c r="AN68" s="37">
        <f t="shared" si="40"/>
        <v>-1076400000</v>
      </c>
      <c r="AO68" s="38">
        <f t="shared" si="104"/>
        <v>-1054563495.3506058</v>
      </c>
      <c r="AP68" s="38">
        <f t="shared" si="41"/>
        <v>-1032704129.4495313</v>
      </c>
      <c r="AQ68" s="38">
        <f t="shared" si="42"/>
        <v>-1010799293.0085065</v>
      </c>
      <c r="AR68" s="38">
        <f t="shared" si="43"/>
        <v>-988826877.84007156</v>
      </c>
      <c r="AS68" s="38">
        <f t="shared" si="44"/>
        <v>-966765520.37680221</v>
      </c>
      <c r="AT68" s="38">
        <f t="shared" si="45"/>
        <v>-944594836.84740627</v>
      </c>
      <c r="AU68" s="38">
        <f t="shared" si="46"/>
        <v>-922295647.48429906</v>
      </c>
      <c r="AV68" s="38">
        <f t="shared" si="47"/>
        <v>-899850187.2677443</v>
      </c>
      <c r="AW68" s="38">
        <f t="shared" si="48"/>
        <v>-877242300.8711381</v>
      </c>
      <c r="AX68" s="38">
        <f t="shared" si="49"/>
        <v>-854457619.65824604</v>
      </c>
      <c r="AY68" s="38">
        <f t="shared" si="50"/>
        <v>-831483718.79356349</v>
      </c>
      <c r="AZ68" s="38">
        <f t="shared" si="51"/>
        <v>-808310252.75851083</v>
      </c>
      <c r="BA68" s="38">
        <f t="shared" si="52"/>
        <v>-784929067.81580341</v>
      </c>
      <c r="BB68" s="38">
        <f t="shared" si="53"/>
        <v>-761334290.22871578</v>
      </c>
      <c r="BC68" s="38">
        <f t="shared" si="54"/>
        <v>-737522389.31767297</v>
      </c>
      <c r="BD68" s="38">
        <f t="shared" si="55"/>
        <v>-713492214.72022247</v>
      </c>
      <c r="BE68" s="38">
        <f t="shared" si="56"/>
        <v>-689245007.508479</v>
      </c>
      <c r="BF68" s="38">
        <f t="shared" si="57"/>
        <v>-664784385.10723484</v>
      </c>
      <c r="BG68" s="38">
        <f t="shared" si="58"/>
        <v>-640116300.24281061</v>
      </c>
      <c r="BH68" s="38">
        <f t="shared" si="59"/>
        <v>-615248974.43423676</v>
      </c>
      <c r="BI68" s="38">
        <f t="shared" si="60"/>
        <v>-590192806.81160724</v>
      </c>
      <c r="BJ68" s="38">
        <f t="shared" si="61"/>
        <v>-564960259.30862451</v>
      </c>
      <c r="BK68" s="38">
        <f t="shared" si="62"/>
        <v>-539565719.52503371</v>
      </c>
      <c r="BL68" s="38">
        <f t="shared" si="63"/>
        <v>-514025342.78746456</v>
      </c>
      <c r="BM68" s="38">
        <f t="shared" si="64"/>
        <v>-488356875.15218782</v>
      </c>
      <c r="BN68" s="38">
        <f t="shared" si="65"/>
        <v>-462579459.28862351</v>
      </c>
      <c r="BO68" s="38">
        <f t="shared" si="66"/>
        <v>-436713425.35656583</v>
      </c>
      <c r="BP68" s="38">
        <f t="shared" si="67"/>
        <v>-410780069.14168704</v>
      </c>
      <c r="BQ68" s="38">
        <f t="shared" si="68"/>
        <v>-384801419.84182811</v>
      </c>
      <c r="BR68" s="37">
        <f t="shared" si="69"/>
        <v>-358800000</v>
      </c>
      <c r="BT68" s="34"/>
      <c r="BU68" s="41">
        <v>3.3333333333333335E-3</v>
      </c>
      <c r="BV68" s="37">
        <v>0</v>
      </c>
      <c r="BW68" s="39">
        <f t="shared" ref="BW68:CY68" si="133">$B$20/($B$21-$B$22*BV68)</f>
        <v>0.34883720930232553</v>
      </c>
      <c r="BX68" s="39">
        <f t="shared" si="133"/>
        <v>0.39716748768472904</v>
      </c>
      <c r="BY68" s="39">
        <f t="shared" si="133"/>
        <v>0.40494040593779607</v>
      </c>
      <c r="BZ68" s="39">
        <f t="shared" si="133"/>
        <v>0.4062190081621499</v>
      </c>
      <c r="CA68" s="39">
        <f t="shared" si="133"/>
        <v>0.40643010492156101</v>
      </c>
      <c r="CB68" s="39">
        <f t="shared" si="133"/>
        <v>0.40646497802255066</v>
      </c>
      <c r="CC68" s="39">
        <f t="shared" si="133"/>
        <v>0.40647073962099717</v>
      </c>
      <c r="CD68" s="39">
        <f t="shared" si="133"/>
        <v>0.40647169154566137</v>
      </c>
      <c r="CE68" s="39">
        <f t="shared" si="133"/>
        <v>0.40647184882198806</v>
      </c>
      <c r="CF68" s="39">
        <f t="shared" si="133"/>
        <v>0.40647187480708435</v>
      </c>
      <c r="CG68" s="39">
        <f t="shared" si="133"/>
        <v>0.40647187910032606</v>
      </c>
      <c r="CH68" s="39">
        <f t="shared" si="133"/>
        <v>0.40647187980965277</v>
      </c>
      <c r="CI68" s="39">
        <f t="shared" si="133"/>
        <v>0.4064718799268473</v>
      </c>
      <c r="CJ68" s="39">
        <f t="shared" si="133"/>
        <v>0.40647187994621015</v>
      </c>
      <c r="CK68" s="39">
        <f t="shared" si="133"/>
        <v>0.40647187994940925</v>
      </c>
      <c r="CL68" s="39">
        <f t="shared" si="133"/>
        <v>0.40647187994993778</v>
      </c>
      <c r="CM68" s="39">
        <f t="shared" si="133"/>
        <v>0.40647187995002515</v>
      </c>
      <c r="CN68" s="39">
        <f t="shared" si="133"/>
        <v>0.40647187995003953</v>
      </c>
      <c r="CO68" s="39">
        <f t="shared" si="133"/>
        <v>0.40647187995004191</v>
      </c>
      <c r="CP68" s="39">
        <f t="shared" si="133"/>
        <v>0.40647187995004236</v>
      </c>
      <c r="CQ68" s="39">
        <f t="shared" si="133"/>
        <v>0.40647187995004236</v>
      </c>
      <c r="CR68" s="39">
        <f t="shared" si="133"/>
        <v>0.40647187995004236</v>
      </c>
      <c r="CS68" s="39">
        <f t="shared" si="133"/>
        <v>0.40647187995004236</v>
      </c>
      <c r="CT68" s="39">
        <f t="shared" si="133"/>
        <v>0.40647187995004236</v>
      </c>
      <c r="CU68" s="39">
        <f t="shared" si="133"/>
        <v>0.40647187995004236</v>
      </c>
      <c r="CV68" s="39">
        <f t="shared" si="133"/>
        <v>0.40647187995004236</v>
      </c>
      <c r="CW68" s="39">
        <f t="shared" si="133"/>
        <v>0.40647187995004236</v>
      </c>
      <c r="CX68" s="39">
        <f t="shared" si="133"/>
        <v>0.40647187995004236</v>
      </c>
      <c r="CY68" s="37">
        <f t="shared" si="133"/>
        <v>0.40647187995004236</v>
      </c>
      <c r="CZ68" s="29">
        <f t="shared" si="71"/>
        <v>100</v>
      </c>
      <c r="DB68" s="34"/>
      <c r="DC68" s="41">
        <v>3.3333333333333335E-3</v>
      </c>
      <c r="DD68" s="37">
        <f t="shared" si="72"/>
        <v>300</v>
      </c>
      <c r="DE68" s="39">
        <f t="shared" si="73"/>
        <v>193.50888905886467</v>
      </c>
      <c r="DF68" s="39">
        <f t="shared" si="74"/>
        <v>175.9270587844224</v>
      </c>
      <c r="DG68" s="39">
        <f t="shared" si="75"/>
        <v>170.10796397943793</v>
      </c>
      <c r="DH68" s="39">
        <f t="shared" si="76"/>
        <v>166.12530907494173</v>
      </c>
      <c r="DI68" s="39">
        <f t="shared" si="77"/>
        <v>162.4271702470426</v>
      </c>
      <c r="DJ68" s="39">
        <f t="shared" si="78"/>
        <v>158.76122661936597</v>
      </c>
      <c r="DK68" s="39">
        <f t="shared" si="79"/>
        <v>155.08401397575045</v>
      </c>
      <c r="DL68" s="39">
        <f t="shared" si="80"/>
        <v>151.38596384903269</v>
      </c>
      <c r="DM68" s="39">
        <f t="shared" si="81"/>
        <v>147.6631905582619</v>
      </c>
      <c r="DN68" s="39">
        <f t="shared" si="82"/>
        <v>143.91296062256174</v>
      </c>
      <c r="DO68" s="39">
        <f t="shared" si="83"/>
        <v>140.13298448267696</v>
      </c>
      <c r="DP68" s="39">
        <f t="shared" si="84"/>
        <v>136.32132243474672</v>
      </c>
      <c r="DQ68" s="39">
        <f t="shared" si="85"/>
        <v>132.47638657235805</v>
      </c>
      <c r="DR68" s="39">
        <f t="shared" si="86"/>
        <v>128.59695493641675</v>
      </c>
      <c r="DS68" s="39">
        <f t="shared" si="87"/>
        <v>124.68218421494258</v>
      </c>
      <c r="DT68" s="39">
        <f t="shared" si="88"/>
        <v>120.73161868536184</v>
      </c>
      <c r="DU68" s="39">
        <f t="shared" si="89"/>
        <v>116.74519496044395</v>
      </c>
      <c r="DV68" s="39">
        <f t="shared" si="90"/>
        <v>112.72324243978014</v>
      </c>
      <c r="DW68" s="39">
        <f t="shared" si="91"/>
        <v>108.66647946333492</v>
      </c>
      <c r="DX68" s="39">
        <f t="shared" si="92"/>
        <v>104.57600521811099</v>
      </c>
      <c r="DY68" s="39">
        <f t="shared" si="93"/>
        <v>100.45328749608798</v>
      </c>
      <c r="DZ68" s="39">
        <f t="shared" si="94"/>
        <v>96.300146446189743</v>
      </c>
      <c r="EA68" s="39">
        <f t="shared" si="95"/>
        <v>92.118734505528735</v>
      </c>
      <c r="EB68" s="39">
        <f t="shared" si="96"/>
        <v>87.91151273529988</v>
      </c>
      <c r="EC68" s="39">
        <f t="shared" si="97"/>
        <v>83.681223824111939</v>
      </c>
      <c r="ED68" s="39">
        <f t="shared" si="98"/>
        <v>79.430862055930476</v>
      </c>
      <c r="EE68" s="39">
        <f t="shared" si="99"/>
        <v>75.16364057087965</v>
      </c>
      <c r="EF68" s="39">
        <f t="shared" si="100"/>
        <v>70.882956274664679</v>
      </c>
      <c r="EG68" s="39">
        <f t="shared" si="101"/>
        <v>66.592352776121984</v>
      </c>
      <c r="EH68" s="37">
        <f t="shared" si="102"/>
        <v>62.295481752210414</v>
      </c>
    </row>
    <row r="69" spans="5:138" x14ac:dyDescent="0.25">
      <c r="E69" s="32"/>
      <c r="F69" s="41">
        <v>0</v>
      </c>
      <c r="G69" s="33">
        <f t="shared" si="10"/>
        <v>300</v>
      </c>
      <c r="H69" s="36">
        <f t="shared" si="11"/>
        <v>293.90675812576757</v>
      </c>
      <c r="I69" s="36">
        <f t="shared" si="12"/>
        <v>287.80722465845503</v>
      </c>
      <c r="J69" s="36">
        <f t="shared" si="13"/>
        <v>281.69517733244811</v>
      </c>
      <c r="K69" s="36">
        <f t="shared" si="14"/>
        <v>275.56453176014105</v>
      </c>
      <c r="L69" s="36">
        <f t="shared" si="15"/>
        <v>269.40940843790997</v>
      </c>
      <c r="M69" s="36">
        <f t="shared" si="16"/>
        <v>263.22419745829217</v>
      </c>
      <c r="N69" s="36">
        <f t="shared" si="17"/>
        <v>257.003620206439</v>
      </c>
      <c r="O69" s="36">
        <f t="shared" si="18"/>
        <v>250.74278735468323</v>
      </c>
      <c r="P69" s="36">
        <f t="shared" si="19"/>
        <v>244.43725251279693</v>
      </c>
      <c r="Q69" s="36">
        <f t="shared" si="20"/>
        <v>238.08306094259592</v>
      </c>
      <c r="R69" s="36">
        <f t="shared" si="21"/>
        <v>231.67679280326161</v>
      </c>
      <c r="S69" s="36">
        <f t="shared" si="22"/>
        <v>225.21560045729427</v>
      </c>
      <c r="T69" s="36">
        <f t="shared" si="23"/>
        <v>218.69723943554459</v>
      </c>
      <c r="U69" s="36">
        <f t="shared" si="24"/>
        <v>212.12009273237715</v>
      </c>
      <c r="V69" s="36">
        <f t="shared" si="25"/>
        <v>205.48318817777334</v>
      </c>
      <c r="W69" s="36">
        <f t="shared" si="26"/>
        <v>198.7862087111352</v>
      </c>
      <c r="X69" s="36">
        <f t="shared" si="27"/>
        <v>192.02949546076053</v>
      </c>
      <c r="Y69" s="36">
        <f t="shared" si="28"/>
        <v>185.21404361249449</v>
      </c>
      <c r="Z69" s="36">
        <f t="shared" si="29"/>
        <v>178.34149113002451</v>
      </c>
      <c r="AA69" s="36">
        <f t="shared" si="30"/>
        <v>171.41410046680997</v>
      </c>
      <c r="AB69" s="36">
        <f t="shared" si="31"/>
        <v>164.43473348491844</v>
      </c>
      <c r="AC69" s="36">
        <f t="shared" si="32"/>
        <v>157.40681986831203</v>
      </c>
      <c r="AD69" s="36">
        <f t="shared" si="33"/>
        <v>150.3343193867006</v>
      </c>
      <c r="AE69" s="36">
        <f t="shared" si="34"/>
        <v>143.22167843031815</v>
      </c>
      <c r="AF69" s="36">
        <f t="shared" si="35"/>
        <v>136.07378129531668</v>
      </c>
      <c r="AG69" s="36">
        <f t="shared" si="36"/>
        <v>128.89589675340909</v>
      </c>
      <c r="AH69" s="36">
        <f t="shared" si="37"/>
        <v>121.69362048749387</v>
      </c>
      <c r="AI69" s="36">
        <f t="shared" si="120"/>
        <v>114.47281401688358</v>
      </c>
      <c r="AJ69" s="36">
        <f t="shared" si="103"/>
        <v>107.23954077112623</v>
      </c>
      <c r="AK69" s="33">
        <f t="shared" si="39"/>
        <v>100</v>
      </c>
      <c r="AL69" s="34"/>
      <c r="AM69" s="30">
        <v>0</v>
      </c>
      <c r="AN69" s="37">
        <f t="shared" si="40"/>
        <v>-1076400000</v>
      </c>
      <c r="AO69" s="37">
        <f t="shared" si="104"/>
        <v>-1054563495.3506058</v>
      </c>
      <c r="AP69" s="37">
        <f t="shared" si="41"/>
        <v>-1032704129.4495313</v>
      </c>
      <c r="AQ69" s="37">
        <f t="shared" si="42"/>
        <v>-1010799293.0085065</v>
      </c>
      <c r="AR69" s="37">
        <f t="shared" si="43"/>
        <v>-988826877.84007156</v>
      </c>
      <c r="AS69" s="37">
        <f t="shared" si="44"/>
        <v>-966765520.37680221</v>
      </c>
      <c r="AT69" s="37">
        <f t="shared" si="45"/>
        <v>-944594836.84740627</v>
      </c>
      <c r="AU69" s="37">
        <f t="shared" si="46"/>
        <v>-922295647.48429906</v>
      </c>
      <c r="AV69" s="37">
        <f t="shared" si="47"/>
        <v>-899850187.2677443</v>
      </c>
      <c r="AW69" s="37">
        <f t="shared" si="48"/>
        <v>-877242300.8711381</v>
      </c>
      <c r="AX69" s="37">
        <f t="shared" si="49"/>
        <v>-854457619.65824604</v>
      </c>
      <c r="AY69" s="37">
        <f t="shared" si="50"/>
        <v>-831483718.79356349</v>
      </c>
      <c r="AZ69" s="37">
        <f t="shared" si="51"/>
        <v>-808310252.75851083</v>
      </c>
      <c r="BA69" s="37">
        <f t="shared" si="52"/>
        <v>-784929067.81580341</v>
      </c>
      <c r="BB69" s="37">
        <f t="shared" si="53"/>
        <v>-761334290.22871578</v>
      </c>
      <c r="BC69" s="37">
        <f t="shared" si="54"/>
        <v>-737522389.31767297</v>
      </c>
      <c r="BD69" s="37">
        <f t="shared" si="55"/>
        <v>-713492214.72022247</v>
      </c>
      <c r="BE69" s="37">
        <f t="shared" si="56"/>
        <v>-689245007.508479</v>
      </c>
      <c r="BF69" s="37">
        <f t="shared" si="57"/>
        <v>-664784385.10723484</v>
      </c>
      <c r="BG69" s="37">
        <f t="shared" si="58"/>
        <v>-640116300.24281061</v>
      </c>
      <c r="BH69" s="37">
        <f t="shared" si="59"/>
        <v>-615248974.43423676</v>
      </c>
      <c r="BI69" s="37">
        <f t="shared" si="60"/>
        <v>-590192806.81160724</v>
      </c>
      <c r="BJ69" s="37">
        <f t="shared" si="61"/>
        <v>-564960259.30862451</v>
      </c>
      <c r="BK69" s="37">
        <f t="shared" si="62"/>
        <v>-539565719.52503371</v>
      </c>
      <c r="BL69" s="37">
        <f t="shared" si="63"/>
        <v>-514025342.78746456</v>
      </c>
      <c r="BM69" s="37">
        <f t="shared" si="64"/>
        <v>-488356875.15218782</v>
      </c>
      <c r="BN69" s="37">
        <f t="shared" si="65"/>
        <v>-462579459.28862351</v>
      </c>
      <c r="BO69" s="37">
        <f t="shared" si="66"/>
        <v>-436713425.35656583</v>
      </c>
      <c r="BP69" s="37">
        <f t="shared" si="67"/>
        <v>-410780069.14168704</v>
      </c>
      <c r="BQ69" s="37">
        <f t="shared" si="68"/>
        <v>-384801419.84182811</v>
      </c>
      <c r="BR69" s="37">
        <f t="shared" si="69"/>
        <v>-358800000</v>
      </c>
      <c r="BT69" s="34"/>
      <c r="BU69" s="41">
        <v>0</v>
      </c>
      <c r="BV69" s="37">
        <v>0</v>
      </c>
      <c r="BW69" s="37">
        <f t="shared" ref="BW69:CY69" si="134">$B$20/($B$21-$B$22*BV69)</f>
        <v>0.34883720930232553</v>
      </c>
      <c r="BX69" s="37">
        <f t="shared" si="134"/>
        <v>0.39716748768472904</v>
      </c>
      <c r="BY69" s="37">
        <f t="shared" si="134"/>
        <v>0.40494040593779607</v>
      </c>
      <c r="BZ69" s="37">
        <f t="shared" si="134"/>
        <v>0.4062190081621499</v>
      </c>
      <c r="CA69" s="37">
        <f t="shared" si="134"/>
        <v>0.40643010492156101</v>
      </c>
      <c r="CB69" s="37">
        <f t="shared" si="134"/>
        <v>0.40646497802255066</v>
      </c>
      <c r="CC69" s="37">
        <f t="shared" si="134"/>
        <v>0.40647073962099717</v>
      </c>
      <c r="CD69" s="37">
        <f t="shared" si="134"/>
        <v>0.40647169154566137</v>
      </c>
      <c r="CE69" s="37">
        <f t="shared" si="134"/>
        <v>0.40647184882198806</v>
      </c>
      <c r="CF69" s="37">
        <f t="shared" si="134"/>
        <v>0.40647187480708435</v>
      </c>
      <c r="CG69" s="37">
        <f t="shared" si="134"/>
        <v>0.40647187910032606</v>
      </c>
      <c r="CH69" s="37">
        <f t="shared" si="134"/>
        <v>0.40647187980965277</v>
      </c>
      <c r="CI69" s="37">
        <f t="shared" si="134"/>
        <v>0.4064718799268473</v>
      </c>
      <c r="CJ69" s="37">
        <f t="shared" si="134"/>
        <v>0.40647187994621015</v>
      </c>
      <c r="CK69" s="37">
        <f t="shared" si="134"/>
        <v>0.40647187994940925</v>
      </c>
      <c r="CL69" s="37">
        <f t="shared" si="134"/>
        <v>0.40647187994993778</v>
      </c>
      <c r="CM69" s="37">
        <f t="shared" si="134"/>
        <v>0.40647187995002515</v>
      </c>
      <c r="CN69" s="37">
        <f t="shared" si="134"/>
        <v>0.40647187995003953</v>
      </c>
      <c r="CO69" s="37">
        <f t="shared" si="134"/>
        <v>0.40647187995004191</v>
      </c>
      <c r="CP69" s="37">
        <f t="shared" si="134"/>
        <v>0.40647187995004236</v>
      </c>
      <c r="CQ69" s="37">
        <f t="shared" si="134"/>
        <v>0.40647187995004236</v>
      </c>
      <c r="CR69" s="37">
        <f t="shared" si="134"/>
        <v>0.40647187995004236</v>
      </c>
      <c r="CS69" s="37">
        <f t="shared" si="134"/>
        <v>0.40647187995004236</v>
      </c>
      <c r="CT69" s="37">
        <f t="shared" si="134"/>
        <v>0.40647187995004236</v>
      </c>
      <c r="CU69" s="37">
        <f t="shared" si="134"/>
        <v>0.40647187995004236</v>
      </c>
      <c r="CV69" s="37">
        <f t="shared" si="134"/>
        <v>0.40647187995004236</v>
      </c>
      <c r="CW69" s="37">
        <f t="shared" si="134"/>
        <v>0.40647187995004236</v>
      </c>
      <c r="CX69" s="37">
        <f t="shared" si="134"/>
        <v>0.40647187995004236</v>
      </c>
      <c r="CY69" s="37">
        <f t="shared" si="134"/>
        <v>0.40647187995004236</v>
      </c>
      <c r="CZ69" s="29">
        <f t="shared" si="71"/>
        <v>100</v>
      </c>
      <c r="DB69" s="34"/>
      <c r="DC69" s="41">
        <v>0</v>
      </c>
      <c r="DD69" s="37">
        <f t="shared" si="72"/>
        <v>300</v>
      </c>
      <c r="DE69" s="37">
        <f t="shared" si="73"/>
        <v>193.50888905886467</v>
      </c>
      <c r="DF69" s="37">
        <f t="shared" si="74"/>
        <v>175.9270587844224</v>
      </c>
      <c r="DG69" s="37">
        <f t="shared" si="75"/>
        <v>170.10796397943793</v>
      </c>
      <c r="DH69" s="37">
        <f t="shared" si="76"/>
        <v>166.12530907494173</v>
      </c>
      <c r="DI69" s="37">
        <f t="shared" si="77"/>
        <v>162.4271702470426</v>
      </c>
      <c r="DJ69" s="37">
        <f t="shared" si="78"/>
        <v>158.76122661936597</v>
      </c>
      <c r="DK69" s="37">
        <f t="shared" si="79"/>
        <v>155.08401397575045</v>
      </c>
      <c r="DL69" s="37">
        <f t="shared" si="80"/>
        <v>151.38596384903269</v>
      </c>
      <c r="DM69" s="37">
        <f t="shared" si="81"/>
        <v>147.6631905582619</v>
      </c>
      <c r="DN69" s="37">
        <f t="shared" si="82"/>
        <v>143.91296062256174</v>
      </c>
      <c r="DO69" s="37">
        <f t="shared" si="83"/>
        <v>140.13298448267696</v>
      </c>
      <c r="DP69" s="37">
        <f t="shared" si="84"/>
        <v>136.32132243474672</v>
      </c>
      <c r="DQ69" s="37">
        <f t="shared" si="85"/>
        <v>132.47638657235805</v>
      </c>
      <c r="DR69" s="37">
        <f t="shared" si="86"/>
        <v>128.59695493641675</v>
      </c>
      <c r="DS69" s="37">
        <f t="shared" si="87"/>
        <v>124.68218421494258</v>
      </c>
      <c r="DT69" s="37">
        <f t="shared" si="88"/>
        <v>120.73161868536184</v>
      </c>
      <c r="DU69" s="37">
        <f t="shared" si="89"/>
        <v>116.74519496044395</v>
      </c>
      <c r="DV69" s="37">
        <f t="shared" si="90"/>
        <v>112.72324243978014</v>
      </c>
      <c r="DW69" s="37">
        <f t="shared" si="91"/>
        <v>108.66647946333492</v>
      </c>
      <c r="DX69" s="37">
        <f t="shared" si="92"/>
        <v>104.57600521811099</v>
      </c>
      <c r="DY69" s="37">
        <f t="shared" si="93"/>
        <v>100.45328749608798</v>
      </c>
      <c r="DZ69" s="37">
        <f t="shared" si="94"/>
        <v>96.300146446189743</v>
      </c>
      <c r="EA69" s="37">
        <f t="shared" si="95"/>
        <v>92.118734505528735</v>
      </c>
      <c r="EB69" s="37">
        <f t="shared" si="96"/>
        <v>87.91151273529988</v>
      </c>
      <c r="EC69" s="37">
        <f t="shared" si="97"/>
        <v>83.681223824111939</v>
      </c>
      <c r="ED69" s="37">
        <f t="shared" si="98"/>
        <v>79.430862055930476</v>
      </c>
      <c r="EE69" s="37">
        <f t="shared" si="99"/>
        <v>75.16364057087965</v>
      </c>
      <c r="EF69" s="37">
        <f t="shared" si="100"/>
        <v>70.882956274664679</v>
      </c>
      <c r="EG69" s="37">
        <f t="shared" si="101"/>
        <v>66.592352776121984</v>
      </c>
      <c r="EH69" s="37">
        <f t="shared" si="102"/>
        <v>62.295481752210414</v>
      </c>
    </row>
    <row r="70" spans="5:138" x14ac:dyDescent="0.25">
      <c r="AM70" s="12"/>
    </row>
    <row r="71" spans="5:138" x14ac:dyDescent="0.25">
      <c r="AM71" s="12"/>
    </row>
    <row r="72" spans="5:138" x14ac:dyDescent="0.25">
      <c r="AM72" s="12"/>
    </row>
    <row r="73" spans="5:138" x14ac:dyDescent="0.25">
      <c r="E73" s="31" t="s">
        <v>41</v>
      </c>
      <c r="F73" s="40" t="s">
        <v>36</v>
      </c>
      <c r="G73" s="40">
        <v>0</v>
      </c>
      <c r="H73" s="41">
        <v>3.3333333333333335E-3</v>
      </c>
      <c r="I73" s="41">
        <v>6.6666666666666671E-3</v>
      </c>
      <c r="J73" s="41">
        <v>0.01</v>
      </c>
      <c r="K73" s="41">
        <v>1.3333333333333334E-2</v>
      </c>
      <c r="L73" s="41">
        <v>1.6666666666666666E-2</v>
      </c>
      <c r="M73" s="41">
        <v>0.02</v>
      </c>
      <c r="N73" s="41">
        <v>2.3333333333333334E-2</v>
      </c>
      <c r="O73" s="41">
        <v>2.6666666666666668E-2</v>
      </c>
      <c r="P73" s="41">
        <v>3.0000000000000002E-2</v>
      </c>
      <c r="Q73" s="41">
        <v>3.3333333333333333E-2</v>
      </c>
      <c r="R73" s="41">
        <v>3.6666666666666667E-2</v>
      </c>
      <c r="S73" s="41">
        <v>0.04</v>
      </c>
      <c r="T73" s="41">
        <v>4.3333333333333335E-2</v>
      </c>
      <c r="U73" s="41">
        <v>4.6666666666666669E-2</v>
      </c>
      <c r="V73" s="41">
        <v>0.05</v>
      </c>
      <c r="W73" s="41">
        <v>5.3333333333333337E-2</v>
      </c>
      <c r="X73" s="41">
        <v>5.6666666666666671E-2</v>
      </c>
      <c r="Y73" s="41">
        <v>6.0000000000000005E-2</v>
      </c>
      <c r="Z73" s="41">
        <v>6.3333333333333339E-2</v>
      </c>
      <c r="AA73" s="41">
        <v>6.6666666666666666E-2</v>
      </c>
      <c r="AB73" s="41">
        <v>7.0000000000000007E-2</v>
      </c>
      <c r="AC73" s="41">
        <v>7.3333333333333334E-2</v>
      </c>
      <c r="AD73" s="41">
        <v>7.6666666666666675E-2</v>
      </c>
      <c r="AE73" s="41">
        <v>0.08</v>
      </c>
      <c r="AF73" s="41">
        <v>8.3333333333333343E-2</v>
      </c>
      <c r="AG73" s="41">
        <v>8.666666666666667E-2</v>
      </c>
      <c r="AH73" s="41">
        <v>9.0000000000000011E-2</v>
      </c>
      <c r="AI73" s="41">
        <v>9.3333333333333338E-2</v>
      </c>
      <c r="AJ73" s="41">
        <v>9.6666666666666679E-2</v>
      </c>
      <c r="AK73" s="41">
        <v>0.1</v>
      </c>
      <c r="AL73" s="21" t="s">
        <v>42</v>
      </c>
      <c r="AM73" s="40" t="s">
        <v>36</v>
      </c>
      <c r="AN73" s="40">
        <v>0</v>
      </c>
      <c r="AO73" s="41">
        <v>3.3333333333333335E-3</v>
      </c>
      <c r="AP73" s="41">
        <v>6.6666666666666671E-3</v>
      </c>
      <c r="AQ73" s="41">
        <v>0.01</v>
      </c>
      <c r="AR73" s="41">
        <v>1.3333333333333334E-2</v>
      </c>
      <c r="AS73" s="41">
        <v>1.6666666666666666E-2</v>
      </c>
      <c r="AT73" s="41">
        <v>0.02</v>
      </c>
      <c r="AU73" s="41">
        <v>2.3333333333333334E-2</v>
      </c>
      <c r="AV73" s="41">
        <v>2.6666666666666668E-2</v>
      </c>
      <c r="AW73" s="41">
        <v>3.0000000000000002E-2</v>
      </c>
      <c r="AX73" s="41">
        <v>3.3333333333333333E-2</v>
      </c>
      <c r="AY73" s="41">
        <v>3.6666666666666667E-2</v>
      </c>
      <c r="AZ73" s="41">
        <v>0.04</v>
      </c>
      <c r="BA73" s="41">
        <v>4.3333333333333335E-2</v>
      </c>
      <c r="BB73" s="41">
        <v>4.6666666666666669E-2</v>
      </c>
      <c r="BC73" s="41">
        <v>0.05</v>
      </c>
      <c r="BD73" s="41">
        <v>5.3333333333333337E-2</v>
      </c>
      <c r="BE73" s="41">
        <v>5.6666666666666671E-2</v>
      </c>
      <c r="BF73" s="41">
        <v>6.0000000000000005E-2</v>
      </c>
      <c r="BG73" s="41">
        <v>6.3333333333333339E-2</v>
      </c>
      <c r="BH73" s="41">
        <v>6.6666666666666666E-2</v>
      </c>
      <c r="BI73" s="41">
        <v>7.0000000000000007E-2</v>
      </c>
      <c r="BJ73" s="41">
        <v>7.3333333333333334E-2</v>
      </c>
      <c r="BK73" s="41">
        <v>7.6666666666666675E-2</v>
      </c>
      <c r="BL73" s="41">
        <v>0.08</v>
      </c>
      <c r="BM73" s="41">
        <v>8.3333333333333343E-2</v>
      </c>
      <c r="BN73" s="41">
        <v>8.666666666666667E-2</v>
      </c>
      <c r="BO73" s="41">
        <v>9.0000000000000011E-2</v>
      </c>
      <c r="BP73" s="41">
        <v>9.3333333333333338E-2</v>
      </c>
      <c r="BQ73" s="41">
        <v>9.6666666666666679E-2</v>
      </c>
      <c r="BR73" s="41">
        <v>0.1</v>
      </c>
      <c r="BT73" s="52" t="s">
        <v>43</v>
      </c>
      <c r="BU73" s="40" t="s">
        <v>36</v>
      </c>
      <c r="BV73" s="40">
        <v>0</v>
      </c>
      <c r="BW73" s="41">
        <v>3.3333333333333335E-3</v>
      </c>
      <c r="BX73" s="41">
        <v>6.6666666666666671E-3</v>
      </c>
      <c r="BY73" s="41">
        <v>0.01</v>
      </c>
      <c r="BZ73" s="41">
        <v>1.3333333333333334E-2</v>
      </c>
      <c r="CA73" s="41">
        <v>1.6666666666666666E-2</v>
      </c>
      <c r="CB73" s="41">
        <v>0.02</v>
      </c>
      <c r="CC73" s="41">
        <v>2.3333333333333334E-2</v>
      </c>
      <c r="CD73" s="41">
        <v>2.6666666666666668E-2</v>
      </c>
      <c r="CE73" s="41">
        <v>3.0000000000000002E-2</v>
      </c>
      <c r="CF73" s="41">
        <v>3.3333333333333333E-2</v>
      </c>
      <c r="CG73" s="41">
        <v>3.6666666666666667E-2</v>
      </c>
      <c r="CH73" s="41">
        <v>0.04</v>
      </c>
      <c r="CI73" s="41">
        <v>4.3333333333333335E-2</v>
      </c>
      <c r="CJ73" s="41">
        <v>4.6666666666666669E-2</v>
      </c>
      <c r="CK73" s="41">
        <v>0.05</v>
      </c>
      <c r="CL73" s="41">
        <v>5.3333333333333337E-2</v>
      </c>
      <c r="CM73" s="41">
        <v>5.6666666666666671E-2</v>
      </c>
      <c r="CN73" s="41">
        <v>6.0000000000000005E-2</v>
      </c>
      <c r="CO73" s="41">
        <v>6.3333333333333339E-2</v>
      </c>
      <c r="CP73" s="41">
        <v>6.6666666666666666E-2</v>
      </c>
      <c r="CQ73" s="41">
        <v>7.0000000000000007E-2</v>
      </c>
      <c r="CR73" s="41">
        <v>7.3333333333333334E-2</v>
      </c>
      <c r="CS73" s="41">
        <v>7.6666666666666675E-2</v>
      </c>
      <c r="CT73" s="41">
        <v>0.08</v>
      </c>
      <c r="CU73" s="41">
        <v>8.3333333333333343E-2</v>
      </c>
      <c r="CV73" s="41">
        <v>8.666666666666667E-2</v>
      </c>
      <c r="CW73" s="41">
        <v>9.0000000000000011E-2</v>
      </c>
      <c r="CX73" s="41">
        <v>9.3333333333333338E-2</v>
      </c>
      <c r="CY73" s="41">
        <v>9.6666666666666679E-2</v>
      </c>
      <c r="CZ73" s="41">
        <v>0.1</v>
      </c>
      <c r="DB73" s="52" t="s">
        <v>44</v>
      </c>
      <c r="DC73" s="40" t="s">
        <v>36</v>
      </c>
      <c r="DD73" s="40">
        <v>0</v>
      </c>
      <c r="DE73" s="41">
        <v>3.3333333333333335E-3</v>
      </c>
      <c r="DF73" s="41">
        <v>6.6666666666666671E-3</v>
      </c>
      <c r="DG73" s="41">
        <v>0.01</v>
      </c>
      <c r="DH73" s="41">
        <v>1.3333333333333334E-2</v>
      </c>
      <c r="DI73" s="41">
        <v>1.6666666666666666E-2</v>
      </c>
      <c r="DJ73" s="41">
        <v>0.02</v>
      </c>
      <c r="DK73" s="41">
        <v>2.3333333333333334E-2</v>
      </c>
      <c r="DL73" s="41">
        <v>2.6666666666666668E-2</v>
      </c>
      <c r="DM73" s="41">
        <v>3.0000000000000002E-2</v>
      </c>
      <c r="DN73" s="41">
        <v>3.3333333333333333E-2</v>
      </c>
      <c r="DO73" s="41">
        <v>3.6666666666666667E-2</v>
      </c>
      <c r="DP73" s="41">
        <v>0.04</v>
      </c>
      <c r="DQ73" s="41">
        <v>4.3333333333333335E-2</v>
      </c>
      <c r="DR73" s="41">
        <v>4.6666666666666669E-2</v>
      </c>
      <c r="DS73" s="41">
        <v>0.05</v>
      </c>
      <c r="DT73" s="41">
        <v>5.3333333333333337E-2</v>
      </c>
      <c r="DU73" s="41">
        <v>5.6666666666666671E-2</v>
      </c>
      <c r="DV73" s="41">
        <v>6.0000000000000005E-2</v>
      </c>
      <c r="DW73" s="41">
        <v>6.3333333333333339E-2</v>
      </c>
      <c r="DX73" s="41">
        <v>6.6666666666666666E-2</v>
      </c>
      <c r="DY73" s="41">
        <v>7.0000000000000007E-2</v>
      </c>
      <c r="DZ73" s="41">
        <v>7.3333333333333334E-2</v>
      </c>
      <c r="EA73" s="41">
        <v>7.6666666666666675E-2</v>
      </c>
      <c r="EB73" s="41">
        <v>0.08</v>
      </c>
      <c r="EC73" s="41">
        <v>8.3333333333333343E-2</v>
      </c>
      <c r="ED73" s="41">
        <v>8.666666666666667E-2</v>
      </c>
      <c r="EE73" s="41">
        <v>9.0000000000000011E-2</v>
      </c>
      <c r="EF73" s="41">
        <v>9.3333333333333338E-2</v>
      </c>
      <c r="EG73" s="41">
        <v>9.6666666666666679E-2</v>
      </c>
      <c r="EH73" s="41">
        <v>0.1</v>
      </c>
    </row>
    <row r="74" spans="5:138" x14ac:dyDescent="0.25">
      <c r="E74" s="32"/>
      <c r="F74" s="41">
        <v>0.1</v>
      </c>
      <c r="G74" s="50">
        <f>$B$16</f>
        <v>300</v>
      </c>
      <c r="H74" s="50">
        <f t="shared" ref="H74:AI74" si="135">DE75/(1-BW75)</f>
        <v>293.92477861820856</v>
      </c>
      <c r="I74" s="50">
        <f t="shared" si="135"/>
        <v>287.84306272670142</v>
      </c>
      <c r="J74" s="50">
        <f t="shared" si="135"/>
        <v>281.74842960669321</v>
      </c>
      <c r="K74" s="50">
        <f t="shared" si="135"/>
        <v>275.63459930677152</v>
      </c>
      <c r="L74" s="50">
        <f t="shared" si="135"/>
        <v>269.49550400052254</v>
      </c>
      <c r="M74" s="50">
        <f t="shared" si="135"/>
        <v>263.32535494116121</v>
      </c>
      <c r="N74" s="50">
        <f t="shared" si="135"/>
        <v>257.11870625880266</v>
      </c>
      <c r="O74" s="50">
        <f t="shared" si="135"/>
        <v>250.87051488500563</v>
      </c>
      <c r="P74" s="50">
        <f t="shared" si="135"/>
        <v>244.57619593677015</v>
      </c>
      <c r="Q74" s="50">
        <f t="shared" si="135"/>
        <v>238.23167294752795</v>
      </c>
      <c r="R74" s="50">
        <f t="shared" si="135"/>
        <v>231.8334223949775</v>
      </c>
      <c r="S74" s="50">
        <f t="shared" si="135"/>
        <v>225.37851204392891</v>
      </c>
      <c r="T74" s="50">
        <f t="shared" si="135"/>
        <v>218.86463269564882</v>
      </c>
      <c r="U74" s="50">
        <f t="shared" si="135"/>
        <v>212.29012301246789</v>
      </c>
      <c r="V74" s="50">
        <f t="shared" si="135"/>
        <v>205.65398716658174</v>
      </c>
      <c r="W74" s="50">
        <f t="shared" si="135"/>
        <v>198.95590514396076</v>
      </c>
      <c r="X74" s="50">
        <f t="shared" si="135"/>
        <v>192.19623561705731</v>
      </c>
      <c r="Y74" s="50">
        <f t="shared" si="135"/>
        <v>185.37601138254146</v>
      </c>
      <c r="Z74" s="50">
        <f t="shared" si="135"/>
        <v>178.49692744167564</v>
      </c>
      <c r="AA74" s="50">
        <f t="shared" si="135"/>
        <v>171.56132188025398</v>
      </c>
      <c r="AB74" s="50">
        <f t="shared" si="135"/>
        <v>164.5721497814915</v>
      </c>
      <c r="AC74" s="50">
        <f t="shared" si="135"/>
        <v>157.53295047811088</v>
      </c>
      <c r="AD74" s="50">
        <f t="shared" si="135"/>
        <v>150.44780851850481</v>
      </c>
      <c r="AE74" s="50">
        <f t="shared" si="135"/>
        <v>143.32130878568546</v>
      </c>
      <c r="AF74" s="50">
        <f t="shared" si="135"/>
        <v>136.1584862662915</v>
      </c>
      <c r="AG74" s="50">
        <f t="shared" si="135"/>
        <v>128.9647710198029</v>
      </c>
      <c r="AH74" s="50">
        <f t="shared" si="135"/>
        <v>121.74592894498679</v>
      </c>
      <c r="AI74" s="50">
        <f t="shared" si="135"/>
        <v>114.50799898119402</v>
      </c>
      <c r="AJ74" s="50">
        <f>EG75/(1-CY75)</f>
        <v>107.25722741623173</v>
      </c>
      <c r="AK74" s="50">
        <f>$B$17</f>
        <v>100</v>
      </c>
      <c r="AL74" s="21"/>
      <c r="AM74" s="41">
        <v>0.1</v>
      </c>
      <c r="AN74" s="37">
        <f>-($B$12*$B$11)/$B$8*G39</f>
        <v>-1076400000</v>
      </c>
      <c r="AO74" s="37">
        <f t="shared" ref="AO74:BR74" si="136">-($B$12*$B$11)/$B$8*H39</f>
        <v>-1054602542.5885484</v>
      </c>
      <c r="AP74" s="37">
        <f t="shared" si="136"/>
        <v>-1032781777.9549165</v>
      </c>
      <c r="AQ74" s="37">
        <f t="shared" si="136"/>
        <v>-1010914656.5225977</v>
      </c>
      <c r="AR74" s="37">
        <f t="shared" si="136"/>
        <v>-988978641.08313417</v>
      </c>
      <c r="AS74" s="37">
        <f t="shared" si="136"/>
        <v>-966951955.70837057</v>
      </c>
      <c r="AT74" s="37">
        <f t="shared" si="136"/>
        <v>-944813826.03809953</v>
      </c>
      <c r="AU74" s="37">
        <f t="shared" si="136"/>
        <v>-922544708.23565578</v>
      </c>
      <c r="AV74" s="37">
        <f t="shared" si="136"/>
        <v>-900126504.04400444</v>
      </c>
      <c r="AW74" s="37">
        <f t="shared" si="136"/>
        <v>-877542759.5455724</v>
      </c>
      <c r="AX74" s="37">
        <f t="shared" si="136"/>
        <v>-854778845.42780375</v>
      </c>
      <c r="AY74" s="37">
        <f t="shared" si="136"/>
        <v>-831822116.78010094</v>
      </c>
      <c r="AZ74" s="37">
        <f t="shared" si="136"/>
        <v>-808662050.6930511</v>
      </c>
      <c r="BA74" s="37">
        <f t="shared" si="136"/>
        <v>-785290360.19403136</v>
      </c>
      <c r="BB74" s="37">
        <f t="shared" si="136"/>
        <v>-761701083.3306644</v>
      </c>
      <c r="BC74" s="37">
        <f t="shared" si="136"/>
        <v>-737890646.50134158</v>
      </c>
      <c r="BD74" s="37">
        <f t="shared" si="136"/>
        <v>-713857901.42629099</v>
      </c>
      <c r="BE74" s="37">
        <f t="shared" si="136"/>
        <v>-689604135.4497422</v>
      </c>
      <c r="BF74" s="37">
        <f t="shared" si="136"/>
        <v>-665133055.15998363</v>
      </c>
      <c r="BG74" s="37">
        <f t="shared" si="136"/>
        <v>-640450743.60614121</v>
      </c>
      <c r="BH74" s="37">
        <f t="shared" si="136"/>
        <v>-615565591.67515111</v>
      </c>
      <c r="BI74" s="37">
        <f t="shared" si="136"/>
        <v>-590488204.46674836</v>
      </c>
      <c r="BJ74" s="37">
        <f t="shared" si="136"/>
        <v>-565231283.765751</v>
      </c>
      <c r="BK74" s="37">
        <f t="shared" si="136"/>
        <v>-539809487.95715117</v>
      </c>
      <c r="BL74" s="37">
        <f t="shared" si="136"/>
        <v>-514239270.95856583</v>
      </c>
      <c r="BM74" s="37">
        <f t="shared" si="136"/>
        <v>-488538701.9546724</v>
      </c>
      <c r="BN74" s="37">
        <f t="shared" si="136"/>
        <v>-462727267.907974</v>
      </c>
      <c r="BO74" s="37">
        <f t="shared" si="136"/>
        <v>-436825660.9883818</v>
      </c>
      <c r="BP74" s="37">
        <f t="shared" si="136"/>
        <v>-410855553.20973021</v>
      </c>
      <c r="BQ74" s="37">
        <f t="shared" si="136"/>
        <v>-384839360.68368387</v>
      </c>
      <c r="BR74" s="37">
        <f t="shared" si="136"/>
        <v>-358800000</v>
      </c>
      <c r="BT74" s="34"/>
      <c r="BU74" s="41">
        <v>0.1</v>
      </c>
      <c r="BV74" s="37">
        <f>$B$20/($B$21-$B$22*BV75)</f>
        <v>0.40647187995004247</v>
      </c>
      <c r="BW74" s="37">
        <f>$B$20/($B$21-$B$22*BW75)</f>
        <v>0.40647187995004247</v>
      </c>
      <c r="BX74" s="37">
        <f t="shared" ref="BX74:CZ74" si="137">$B$20/($B$21-$B$22*BX75)</f>
        <v>0.40647187995004247</v>
      </c>
      <c r="BY74" s="37">
        <f t="shared" si="137"/>
        <v>0.40647187995004247</v>
      </c>
      <c r="BZ74" s="37">
        <f t="shared" si="137"/>
        <v>0.40647187995004247</v>
      </c>
      <c r="CA74" s="37">
        <f t="shared" si="137"/>
        <v>0.40647187995004247</v>
      </c>
      <c r="CB74" s="37">
        <f t="shared" si="137"/>
        <v>0.40647187995004247</v>
      </c>
      <c r="CC74" s="37">
        <f t="shared" si="137"/>
        <v>0.40647187995004247</v>
      </c>
      <c r="CD74" s="37">
        <f t="shared" si="137"/>
        <v>0.40647187995004247</v>
      </c>
      <c r="CE74" s="37">
        <f t="shared" si="137"/>
        <v>0.40647187995004247</v>
      </c>
      <c r="CF74" s="37">
        <f t="shared" si="137"/>
        <v>0.40647187995004247</v>
      </c>
      <c r="CG74" s="37">
        <f t="shared" si="137"/>
        <v>0.40647187995004247</v>
      </c>
      <c r="CH74" s="37">
        <f t="shared" si="137"/>
        <v>0.40647187995004247</v>
      </c>
      <c r="CI74" s="37">
        <f t="shared" si="137"/>
        <v>0.40647187995004247</v>
      </c>
      <c r="CJ74" s="37">
        <f t="shared" si="137"/>
        <v>0.40647187995004247</v>
      </c>
      <c r="CK74" s="37">
        <f t="shared" si="137"/>
        <v>0.40647187995004247</v>
      </c>
      <c r="CL74" s="37">
        <f t="shared" si="137"/>
        <v>0.40647187995004247</v>
      </c>
      <c r="CM74" s="37">
        <f t="shared" si="137"/>
        <v>0.40647187995004247</v>
      </c>
      <c r="CN74" s="37">
        <f t="shared" si="137"/>
        <v>0.40647187995004247</v>
      </c>
      <c r="CO74" s="37">
        <f t="shared" si="137"/>
        <v>0.40647187995004247</v>
      </c>
      <c r="CP74" s="37">
        <f t="shared" si="137"/>
        <v>0.40647187995004247</v>
      </c>
      <c r="CQ74" s="37">
        <f t="shared" si="137"/>
        <v>0.40647187995004247</v>
      </c>
      <c r="CR74" s="37">
        <f t="shared" si="137"/>
        <v>0.40647187995004247</v>
      </c>
      <c r="CS74" s="37">
        <f t="shared" si="137"/>
        <v>0.40647187995004247</v>
      </c>
      <c r="CT74" s="37">
        <f t="shared" si="137"/>
        <v>0.40647187995004247</v>
      </c>
      <c r="CU74" s="37">
        <f t="shared" si="137"/>
        <v>0.40647187995004247</v>
      </c>
      <c r="CV74" s="37">
        <f t="shared" si="137"/>
        <v>0.40647187995004247</v>
      </c>
      <c r="CW74" s="37">
        <f t="shared" si="137"/>
        <v>0.40647187995004247</v>
      </c>
      <c r="CX74" s="37">
        <f t="shared" si="137"/>
        <v>0.40647187995004247</v>
      </c>
      <c r="CY74" s="37">
        <f t="shared" si="137"/>
        <v>0.40647187995004247</v>
      </c>
      <c r="CZ74" s="37">
        <f t="shared" si="137"/>
        <v>0.40647187995004247</v>
      </c>
      <c r="DB74" s="34"/>
      <c r="DC74" s="41">
        <v>0.1</v>
      </c>
      <c r="DD74" s="37">
        <f>(DD75*$B$22-AN74)/($B$21-$B$22*BV75)</f>
        <v>178.05843601498725</v>
      </c>
      <c r="DE74" s="37">
        <f t="shared" ref="DE74:EH74" si="138">(DE75*$B$22-AO74)/($B$21-$B$22*BW75)</f>
        <v>174.45266418554218</v>
      </c>
      <c r="DF74" s="37">
        <f t="shared" si="138"/>
        <v>170.84303719877173</v>
      </c>
      <c r="DG74" s="37">
        <f t="shared" si="138"/>
        <v>167.22574251315916</v>
      </c>
      <c r="DH74" s="37">
        <f t="shared" si="138"/>
        <v>163.59705233529402</v>
      </c>
      <c r="DI74" s="37">
        <f t="shared" si="138"/>
        <v>159.95336479117836</v>
      </c>
      <c r="DJ74" s="37">
        <f t="shared" si="138"/>
        <v>156.29124367102693</v>
      </c>
      <c r="DK74" s="37">
        <f t="shared" si="138"/>
        <v>152.60745629974767</v>
      </c>
      <c r="DL74" s="37">
        <f t="shared" si="138"/>
        <v>148.89900910844057</v>
      </c>
      <c r="DM74" s="37">
        <f t="shared" si="138"/>
        <v>145.16318051048606</v>
      </c>
      <c r="DN74" s="37">
        <f t="shared" si="138"/>
        <v>141.39755071865972</v>
      </c>
      <c r="DO74" s="37">
        <f t="shared" si="138"/>
        <v>137.60002817670477</v>
      </c>
      <c r="DP74" s="37">
        <f t="shared" si="138"/>
        <v>133.76887231935325</v>
      </c>
      <c r="DQ74" s="37">
        <f t="shared" si="138"/>
        <v>129.9027124183157</v>
      </c>
      <c r="DR74" s="37">
        <f t="shared" si="138"/>
        <v>126.0005623176374</v>
      </c>
      <c r="DS74" s="37">
        <f t="shared" si="138"/>
        <v>122.06183090940812</v>
      </c>
      <c r="DT74" s="37">
        <f t="shared" si="138"/>
        <v>118.08632824948535</v>
      </c>
      <c r="DU74" s="37">
        <f t="shared" si="138"/>
        <v>114.07426726202526</v>
      </c>
      <c r="DV74" s="37">
        <f t="shared" si="138"/>
        <v>110.0262610306157</v>
      </c>
      <c r="DW74" s="37">
        <f t="shared" si="138"/>
        <v>105.94331572211132</v>
      </c>
      <c r="DX74" s="37">
        <f t="shared" si="138"/>
        <v>101.82681923635184</v>
      </c>
      <c r="DY74" s="37">
        <f t="shared" si="138"/>
        <v>97.678525720326704</v>
      </c>
      <c r="DZ74" s="37">
        <f t="shared" si="138"/>
        <v>93.500536128598853</v>
      </c>
      <c r="EA74" s="37">
        <f t="shared" si="138"/>
        <v>89.295275052531707</v>
      </c>
      <c r="EB74" s="37">
        <f t="shared" si="138"/>
        <v>85.065464078752029</v>
      </c>
      <c r="EC74" s="37">
        <f t="shared" si="138"/>
        <v>80.814091972033921</v>
      </c>
      <c r="ED74" s="37">
        <f t="shared" si="138"/>
        <v>76.544382009172907</v>
      </c>
      <c r="EE74" s="37">
        <f t="shared" si="138"/>
        <v>72.259756818237008</v>
      </c>
      <c r="EF74" s="37">
        <f t="shared" si="138"/>
        <v>67.963801101672587</v>
      </c>
      <c r="EG74" s="37">
        <f t="shared" si="138"/>
        <v>63.660222641983047</v>
      </c>
      <c r="EH74" s="37">
        <f t="shared" si="138"/>
        <v>59.352812004995762</v>
      </c>
    </row>
    <row r="75" spans="5:138" x14ac:dyDescent="0.25">
      <c r="E75" s="32"/>
      <c r="F75" s="41">
        <v>9.6666666666666679E-2</v>
      </c>
      <c r="G75" s="50">
        <f t="shared" ref="G75:G104" si="139">$B$16</f>
        <v>300</v>
      </c>
      <c r="H75" s="51">
        <f>BW75*H74+DE75</f>
        <v>293.92477861820862</v>
      </c>
      <c r="I75" s="51">
        <f t="shared" ref="I75:AJ75" si="140">BX75*I74+DF75</f>
        <v>287.84306272670142</v>
      </c>
      <c r="J75" s="51">
        <f t="shared" si="140"/>
        <v>281.74842960669321</v>
      </c>
      <c r="K75" s="51">
        <f t="shared" si="140"/>
        <v>275.63459930677152</v>
      </c>
      <c r="L75" s="51">
        <f t="shared" si="140"/>
        <v>269.49550400052254</v>
      </c>
      <c r="M75" s="51">
        <f t="shared" si="140"/>
        <v>263.32535494116121</v>
      </c>
      <c r="N75" s="51">
        <f t="shared" si="140"/>
        <v>257.11870625880266</v>
      </c>
      <c r="O75" s="51">
        <f t="shared" si="140"/>
        <v>250.87051488500566</v>
      </c>
      <c r="P75" s="51">
        <f t="shared" si="140"/>
        <v>244.57619593677015</v>
      </c>
      <c r="Q75" s="51">
        <f t="shared" si="140"/>
        <v>238.23167294752795</v>
      </c>
      <c r="R75" s="51">
        <f t="shared" si="140"/>
        <v>231.8334223949775</v>
      </c>
      <c r="S75" s="51">
        <f t="shared" si="140"/>
        <v>225.37851204392894</v>
      </c>
      <c r="T75" s="51">
        <f t="shared" si="140"/>
        <v>218.86463269564882</v>
      </c>
      <c r="U75" s="51">
        <f t="shared" si="140"/>
        <v>212.29012301246792</v>
      </c>
      <c r="V75" s="51">
        <f t="shared" si="140"/>
        <v>205.65398716658174</v>
      </c>
      <c r="W75" s="51">
        <f t="shared" si="140"/>
        <v>198.95590514396076</v>
      </c>
      <c r="X75" s="51">
        <f t="shared" si="140"/>
        <v>192.19623561705731</v>
      </c>
      <c r="Y75" s="51">
        <f t="shared" si="140"/>
        <v>185.37601138254149</v>
      </c>
      <c r="Z75" s="51">
        <f t="shared" si="140"/>
        <v>178.49692744167567</v>
      </c>
      <c r="AA75" s="51">
        <f t="shared" si="140"/>
        <v>171.56132188025401</v>
      </c>
      <c r="AB75" s="51">
        <f t="shared" si="140"/>
        <v>164.57214978149153</v>
      </c>
      <c r="AC75" s="51">
        <f t="shared" si="140"/>
        <v>157.53295047811088</v>
      </c>
      <c r="AD75" s="51">
        <f t="shared" si="140"/>
        <v>150.44780851850481</v>
      </c>
      <c r="AE75" s="51">
        <f t="shared" si="140"/>
        <v>143.32130878568546</v>
      </c>
      <c r="AF75" s="51">
        <f t="shared" si="140"/>
        <v>136.1584862662915</v>
      </c>
      <c r="AG75" s="51">
        <f t="shared" si="140"/>
        <v>128.9647710198029</v>
      </c>
      <c r="AH75" s="51">
        <f t="shared" si="140"/>
        <v>121.74592894498679</v>
      </c>
      <c r="AI75" s="51">
        <f t="shared" si="140"/>
        <v>114.50799898119402</v>
      </c>
      <c r="AJ75" s="51">
        <f t="shared" si="140"/>
        <v>107.25722741623173</v>
      </c>
      <c r="AK75" s="50">
        <f t="shared" ref="AK75:AK104" si="141">$B$17</f>
        <v>100</v>
      </c>
      <c r="AL75" s="21"/>
      <c r="AM75" s="41">
        <v>9.6666666666666679E-2</v>
      </c>
      <c r="AN75" s="37">
        <f t="shared" ref="AN75:AN104" si="142">-($B$12*$B$11)/$B$8*G40</f>
        <v>-1076400000</v>
      </c>
      <c r="AO75" s="39">
        <f t="shared" ref="AO75:AO104" si="143">-($B$12*$B$11)/$B$8*H40</f>
        <v>-1054602542.5885484</v>
      </c>
      <c r="AP75" s="39">
        <f t="shared" ref="AP75:AP104" si="144">-($B$12*$B$11)/$B$8*I40</f>
        <v>-1032781777.9549165</v>
      </c>
      <c r="AQ75" s="39">
        <f t="shared" ref="AQ75:AQ104" si="145">-($B$12*$B$11)/$B$8*J40</f>
        <v>-1010914656.5225977</v>
      </c>
      <c r="AR75" s="39">
        <f t="shared" ref="AR75:AR104" si="146">-($B$12*$B$11)/$B$8*K40</f>
        <v>-988978641.08313417</v>
      </c>
      <c r="AS75" s="39">
        <f t="shared" ref="AS75:AS104" si="147">-($B$12*$B$11)/$B$8*L40</f>
        <v>-966951955.70837057</v>
      </c>
      <c r="AT75" s="39">
        <f t="shared" ref="AT75:AT104" si="148">-($B$12*$B$11)/$B$8*M40</f>
        <v>-944813826.03809953</v>
      </c>
      <c r="AU75" s="39">
        <f t="shared" ref="AU75:AU104" si="149">-($B$12*$B$11)/$B$8*N40</f>
        <v>-922544708.23565578</v>
      </c>
      <c r="AV75" s="39">
        <f t="shared" ref="AV75:AV104" si="150">-($B$12*$B$11)/$B$8*O40</f>
        <v>-900126504.04400444</v>
      </c>
      <c r="AW75" s="39">
        <f t="shared" ref="AW75:AW104" si="151">-($B$12*$B$11)/$B$8*P40</f>
        <v>-877542759.5455724</v>
      </c>
      <c r="AX75" s="39">
        <f t="shared" ref="AX75:AX104" si="152">-($B$12*$B$11)/$B$8*Q40</f>
        <v>-854778845.42780375</v>
      </c>
      <c r="AY75" s="39">
        <f t="shared" ref="AY75:AY104" si="153">-($B$12*$B$11)/$B$8*R40</f>
        <v>-831822116.78010106</v>
      </c>
      <c r="AZ75" s="39">
        <f t="shared" ref="AZ75:AZ104" si="154">-($B$12*$B$11)/$B$8*S40</f>
        <v>-808662050.69305134</v>
      </c>
      <c r="BA75" s="39">
        <f t="shared" ref="BA75:BA104" si="155">-($B$12*$B$11)/$B$8*T40</f>
        <v>-785290360.19403136</v>
      </c>
      <c r="BB75" s="39">
        <f t="shared" ref="BB75:BB104" si="156">-($B$12*$B$11)/$B$8*U40</f>
        <v>-761701083.3306644</v>
      </c>
      <c r="BC75" s="39">
        <f t="shared" ref="BC75:BC104" si="157">-($B$12*$B$11)/$B$8*V40</f>
        <v>-737890646.50134158</v>
      </c>
      <c r="BD75" s="39">
        <f t="shared" ref="BD75:BD104" si="158">-($B$12*$B$11)/$B$8*W40</f>
        <v>-713857901.42629099</v>
      </c>
      <c r="BE75" s="39">
        <f t="shared" ref="BE75:BE104" si="159">-($B$12*$B$11)/$B$8*X40</f>
        <v>-689604135.44974244</v>
      </c>
      <c r="BF75" s="39">
        <f t="shared" ref="BF75:BF104" si="160">-($B$12*$B$11)/$B$8*Y40</f>
        <v>-665133055.15998387</v>
      </c>
      <c r="BG75" s="39">
        <f t="shared" ref="BG75:BG104" si="161">-($B$12*$B$11)/$B$8*Z40</f>
        <v>-640450743.60614133</v>
      </c>
      <c r="BH75" s="39">
        <f t="shared" ref="BH75:BH104" si="162">-($B$12*$B$11)/$B$8*AA40</f>
        <v>-615565591.67515111</v>
      </c>
      <c r="BI75" s="39">
        <f t="shared" ref="BI75:BI104" si="163">-($B$12*$B$11)/$B$8*AB40</f>
        <v>-590488204.46674836</v>
      </c>
      <c r="BJ75" s="39">
        <f t="shared" ref="BJ75:BJ104" si="164">-($B$12*$B$11)/$B$8*AC40</f>
        <v>-565231283.765751</v>
      </c>
      <c r="BK75" s="39">
        <f t="shared" ref="BK75:BK104" si="165">-($B$12*$B$11)/$B$8*AD40</f>
        <v>-539809487.95715117</v>
      </c>
      <c r="BL75" s="39">
        <f t="shared" ref="BL75:BL104" si="166">-($B$12*$B$11)/$B$8*AE40</f>
        <v>-514239270.95856583</v>
      </c>
      <c r="BM75" s="39">
        <f t="shared" ref="BM75:BM104" si="167">-($B$12*$B$11)/$B$8*AF40</f>
        <v>-488538701.9546724</v>
      </c>
      <c r="BN75" s="39">
        <f t="shared" ref="BN75:BN104" si="168">-($B$12*$B$11)/$B$8*AG40</f>
        <v>-462727267.907974</v>
      </c>
      <c r="BO75" s="39">
        <f t="shared" ref="BO75:BO104" si="169">-($B$12*$B$11)/$B$8*AH40</f>
        <v>-436825660.9883818</v>
      </c>
      <c r="BP75" s="39">
        <f t="shared" ref="BP75:BP104" si="170">-($B$12*$B$11)/$B$8*AI40</f>
        <v>-410855553.20973021</v>
      </c>
      <c r="BQ75" s="39">
        <f t="shared" ref="BQ75:BQ104" si="171">-($B$12*$B$11)/$B$8*AJ40</f>
        <v>-384839360.68368387</v>
      </c>
      <c r="BR75" s="37">
        <f t="shared" ref="BR75:BR104" si="172">-($B$12*$B$11)/$B$8*AK40</f>
        <v>-358800000</v>
      </c>
      <c r="BT75" s="34"/>
      <c r="BU75" s="41">
        <v>9.6666666666666679E-2</v>
      </c>
      <c r="BV75" s="37">
        <f t="shared" ref="BV75:BV103" si="173">$B$20/($B$21-$B$22*BV76)</f>
        <v>0.40647187995004247</v>
      </c>
      <c r="BW75" s="39">
        <f t="shared" ref="BW75:BW103" si="174">$B$20/($B$21-$B$22*BW76)</f>
        <v>0.40647187995004247</v>
      </c>
      <c r="BX75" s="39">
        <f t="shared" ref="BX75:BX103" si="175">$B$20/($B$21-$B$22*BX76)</f>
        <v>0.40647187995004247</v>
      </c>
      <c r="BY75" s="39">
        <f t="shared" ref="BY75:BY103" si="176">$B$20/($B$21-$B$22*BY76)</f>
        <v>0.40647187995004247</v>
      </c>
      <c r="BZ75" s="39">
        <f t="shared" ref="BZ75:BZ103" si="177">$B$20/($B$21-$B$22*BZ76)</f>
        <v>0.40647187995004247</v>
      </c>
      <c r="CA75" s="39">
        <f t="shared" ref="CA75:CA103" si="178">$B$20/($B$21-$B$22*CA76)</f>
        <v>0.40647187995004247</v>
      </c>
      <c r="CB75" s="39">
        <f t="shared" ref="CB75:CB103" si="179">$B$20/($B$21-$B$22*CB76)</f>
        <v>0.40647187995004247</v>
      </c>
      <c r="CC75" s="39">
        <f t="shared" ref="CC75:CC103" si="180">$B$20/($B$21-$B$22*CC76)</f>
        <v>0.40647187995004247</v>
      </c>
      <c r="CD75" s="39">
        <f t="shared" ref="CD75:CD103" si="181">$B$20/($B$21-$B$22*CD76)</f>
        <v>0.40647187995004247</v>
      </c>
      <c r="CE75" s="39">
        <f t="shared" ref="CE75:CE103" si="182">$B$20/($B$21-$B$22*CE76)</f>
        <v>0.40647187995004247</v>
      </c>
      <c r="CF75" s="39">
        <f t="shared" ref="CF75:CF103" si="183">$B$20/($B$21-$B$22*CF76)</f>
        <v>0.40647187995004247</v>
      </c>
      <c r="CG75" s="39">
        <f t="shared" ref="CG75:CG103" si="184">$B$20/($B$21-$B$22*CG76)</f>
        <v>0.40647187995004247</v>
      </c>
      <c r="CH75" s="39">
        <f t="shared" ref="CH75:CH103" si="185">$B$20/($B$21-$B$22*CH76)</f>
        <v>0.40647187995004247</v>
      </c>
      <c r="CI75" s="39">
        <f t="shared" ref="CI75:CI103" si="186">$B$20/($B$21-$B$22*CI76)</f>
        <v>0.40647187995004247</v>
      </c>
      <c r="CJ75" s="39">
        <f t="shared" ref="CJ75:CJ103" si="187">$B$20/($B$21-$B$22*CJ76)</f>
        <v>0.40647187995004247</v>
      </c>
      <c r="CK75" s="39">
        <f t="shared" ref="CK75:CK103" si="188">$B$20/($B$21-$B$22*CK76)</f>
        <v>0.40647187995004247</v>
      </c>
      <c r="CL75" s="39">
        <f t="shared" ref="CL75:CL103" si="189">$B$20/($B$21-$B$22*CL76)</f>
        <v>0.40647187995004247</v>
      </c>
      <c r="CM75" s="39">
        <f t="shared" ref="CM75:CM103" si="190">$B$20/($B$21-$B$22*CM76)</f>
        <v>0.40647187995004247</v>
      </c>
      <c r="CN75" s="39">
        <f t="shared" ref="CN75:CN103" si="191">$B$20/($B$21-$B$22*CN76)</f>
        <v>0.40647187995004247</v>
      </c>
      <c r="CO75" s="39">
        <f t="shared" ref="CO75:CO103" si="192">$B$20/($B$21-$B$22*CO76)</f>
        <v>0.40647187995004247</v>
      </c>
      <c r="CP75" s="39">
        <f t="shared" ref="CP75:CP103" si="193">$B$20/($B$21-$B$22*CP76)</f>
        <v>0.40647187995004247</v>
      </c>
      <c r="CQ75" s="39">
        <f t="shared" ref="CQ75:CQ103" si="194">$B$20/($B$21-$B$22*CQ76)</f>
        <v>0.40647187995004247</v>
      </c>
      <c r="CR75" s="39">
        <f t="shared" ref="CR75:CR103" si="195">$B$20/($B$21-$B$22*CR76)</f>
        <v>0.40647187995004247</v>
      </c>
      <c r="CS75" s="39">
        <f t="shared" ref="CS75:CS103" si="196">$B$20/($B$21-$B$22*CS76)</f>
        <v>0.40647187995004247</v>
      </c>
      <c r="CT75" s="39">
        <f t="shared" ref="CT75:CT103" si="197">$B$20/($B$21-$B$22*CT76)</f>
        <v>0.40647187995004247</v>
      </c>
      <c r="CU75" s="39">
        <f t="shared" ref="CU75:CU103" si="198">$B$20/($B$21-$B$22*CU76)</f>
        <v>0.40647187995004247</v>
      </c>
      <c r="CV75" s="39">
        <f t="shared" ref="CV75:CV103" si="199">$B$20/($B$21-$B$22*CV76)</f>
        <v>0.40647187995004247</v>
      </c>
      <c r="CW75" s="39">
        <f t="shared" ref="CW75:CW103" si="200">$B$20/($B$21-$B$22*CW76)</f>
        <v>0.40647187995004247</v>
      </c>
      <c r="CX75" s="39">
        <f t="shared" ref="CX75:CX103" si="201">$B$20/($B$21-$B$22*CX76)</f>
        <v>0.40647187995004247</v>
      </c>
      <c r="CY75" s="39">
        <f t="shared" ref="CY75:CY103" si="202">$B$20/($B$21-$B$22*CY76)</f>
        <v>0.40647187995004247</v>
      </c>
      <c r="CZ75" s="37">
        <f t="shared" ref="CZ75:CZ103" si="203">$B$20/($B$21-$B$22*CZ76)</f>
        <v>0.40647187995004247</v>
      </c>
      <c r="DB75" s="34"/>
      <c r="DC75" s="41">
        <v>9.6666666666666679E-2</v>
      </c>
      <c r="DD75" s="37">
        <f t="shared" ref="DD75:DD103" si="204">(DD76*$B$22-AN75)/($B$21-$B$22*BV76)</f>
        <v>178.05843601498725</v>
      </c>
      <c r="DE75" s="39">
        <f t="shared" ref="DE75:DE103" si="205">(DE76*$B$22-AO75)/($B$21-$B$22*BW76)</f>
        <v>174.45262128936531</v>
      </c>
      <c r="DF75" s="39">
        <f t="shared" ref="DF75:DF103" si="206">(DF76*$B$22-AP75)/($B$21-$B$22*BX76)</f>
        <v>170.84295188960112</v>
      </c>
      <c r="DG75" s="39">
        <f t="shared" ref="DG75:DG103" si="207">(DG76*$B$22-AQ75)/($B$21-$B$22*BY76)</f>
        <v>167.22561575148842</v>
      </c>
      <c r="DH75" s="39">
        <f t="shared" ref="DH75:DH103" si="208">(DH76*$B$22-AR75)/($B$21-$B$22*BZ76)</f>
        <v>163.59688554727143</v>
      </c>
      <c r="DI75" s="39">
        <f t="shared" ref="DI75:DI103" si="209">(DI76*$B$22-AS75)/($B$21-$B$22*CA76)</f>
        <v>159.95315985134596</v>
      </c>
      <c r="DJ75" s="39">
        <f t="shared" ref="DJ75:DJ103" si="210">(DJ76*$B$22-AT75)/($B$21-$B$22*CB76)</f>
        <v>156.29100287971522</v>
      </c>
      <c r="DK75" s="39">
        <f t="shared" ref="DK75:DK103" si="211">(DK76*$B$22-AU75)/($B$21-$B$22*CC76)</f>
        <v>152.6071823554644</v>
      </c>
      <c r="DL75" s="39">
        <f t="shared" ref="DL75:DL103" si="212">(DL76*$B$22-AV75)/($B$21-$B$22*CD76)</f>
        <v>148.89870507566229</v>
      </c>
      <c r="DM75" s="39">
        <f t="shared" ref="DM75:DM103" si="213">(DM76*$B$22-AW75)/($B$21-$B$22*CE76)</f>
        <v>145.16284978332126</v>
      </c>
      <c r="DN75" s="39">
        <f t="shared" ref="DN75:DN103" si="214">(DN76*$B$22-AX75)/($B$21-$B$22*CF76)</f>
        <v>141.39719698090261</v>
      </c>
      <c r="DO75" s="39">
        <f t="shared" ref="DO75:DO103" si="215">(DO76*$B$22-AY75)/($B$21-$B$22*CG76)</f>
        <v>137.59965535883873</v>
      </c>
      <c r="DP75" s="39">
        <f t="shared" ref="DP75:DP103" si="216">(DP76*$B$22-AZ75)/($B$21-$B$22*CH76)</f>
        <v>133.76848455308985</v>
      </c>
      <c r="DQ75" s="39">
        <f t="shared" ref="DQ75:DQ103" si="217">(DQ76*$B$22-BA75)/($B$21-$B$22*CI76)</f>
        <v>129.90231398927293</v>
      </c>
      <c r="DR75" s="39">
        <f t="shared" ref="DR75:DR103" si="218">(DR76*$B$22-BB75)/($B$21-$B$22*CJ76)</f>
        <v>126.00015761676431</v>
      </c>
      <c r="DS75" s="39">
        <f t="shared" ref="DS75:DS103" si="219">(DS76*$B$22-BC75)/($B$21-$B$22*CK76)</f>
        <v>122.06142438375936</v>
      </c>
      <c r="DT75" s="39">
        <f t="shared" ref="DT75:DT103" si="220">(DT76*$B$22-BD75)/($B$21-$B$22*CL76)</f>
        <v>118.08592435293272</v>
      </c>
      <c r="DU75" s="39">
        <f t="shared" ref="DU75:DU103" si="221">(DU76*$B$22-BE75)/($B$21-$B$22*CM76)</f>
        <v>114.07387040647073</v>
      </c>
      <c r="DV75" s="39">
        <f t="shared" ref="DV75:DV103" si="222">(DV76*$B$22-BF75)/($B$21-$B$22*CN76)</f>
        <v>110.02587553823938</v>
      </c>
      <c r="DW75" s="39">
        <f t="shared" ref="DW75:DW103" si="223">(DW76*$B$22-BG75)/($B$21-$B$22*CO76)</f>
        <v>105.94294577915143</v>
      </c>
      <c r="DX75" s="39">
        <f t="shared" ref="DX75:DX103" si="224">(DX76*$B$22-BH75)/($B$21-$B$22*CP76)</f>
        <v>101.82646884887281</v>
      </c>
      <c r="DY75" s="39">
        <f t="shared" ref="DY75:DY103" si="225">(DY76*$B$22-BI75)/($B$21-$B$22*CQ76)</f>
        <v>97.678198672388689</v>
      </c>
      <c r="DZ75" s="39">
        <f t="shared" ref="DZ75:DZ103" si="226">(DZ76*$B$22-BJ75)/($B$21-$B$22*CR76)</f>
        <v>93.500235943196216</v>
      </c>
      <c r="EA75" s="39">
        <f t="shared" ref="EA75:EA103" si="227">(EA76*$B$22-BK75)/($B$21-$B$22*CS76)</f>
        <v>89.295004955624151</v>
      </c>
      <c r="EB75" s="39">
        <f t="shared" ref="EB75:EB103" si="228">(EB76*$B$22-BL75)/($B$21-$B$22*CT76)</f>
        <v>85.065226966667353</v>
      </c>
      <c r="EC75" s="39">
        <f t="shared" ref="EC75:EC103" si="229">(EC76*$B$22-BM75)/($B$21-$B$22*CU76)</f>
        <v>80.813890382479968</v>
      </c>
      <c r="ED75" s="39">
        <f t="shared" ref="ED75:ED103" si="230">(ED76*$B$22-BN75)/($B$21-$B$22*CV76)</f>
        <v>76.544218096056866</v>
      </c>
      <c r="EE75" s="39">
        <f t="shared" ref="EE75:EE103" si="231">(EE76*$B$22-BO75)/($B$21-$B$22*CW76)</f>
        <v>72.259632330453726</v>
      </c>
      <c r="EF75" s="39">
        <f t="shared" ref="EF75:EF103" si="232">(EF76*$B$22-BP75)/($B$21-$B$22*CX76)</f>
        <v>67.963717365990547</v>
      </c>
      <c r="EG75" s="39">
        <f t="shared" ref="EG75:EG103" si="233">(EG76*$B$22-BQ75)/($B$21-$B$22*CY76)</f>
        <v>63.660180550126789</v>
      </c>
      <c r="EH75" s="37">
        <f t="shared" ref="EH75:EH103" si="234">(EH76*$B$22-BR75)/($B$21-$B$22*CZ76)</f>
        <v>59.352812004995762</v>
      </c>
    </row>
    <row r="76" spans="5:138" x14ac:dyDescent="0.25">
      <c r="E76" s="32"/>
      <c r="F76" s="41">
        <v>9.3333333333333338E-2</v>
      </c>
      <c r="G76" s="50">
        <f t="shared" si="139"/>
        <v>300</v>
      </c>
      <c r="H76" s="51">
        <f t="shared" ref="H76:H104" si="235">BW76*H75+DE76</f>
        <v>293.92467308525795</v>
      </c>
      <c r="I76" s="51">
        <f t="shared" ref="I76:I104" si="236">BX76*I75+DF76</f>
        <v>287.84285284952466</v>
      </c>
      <c r="J76" s="51">
        <f t="shared" ref="J76:J104" si="237">BY76*J75+DG76</f>
        <v>281.74811774829163</v>
      </c>
      <c r="K76" s="51">
        <f t="shared" ref="K76:K104" si="238">BZ76*K75+DH76</f>
        <v>275.6341889757478</v>
      </c>
      <c r="L76" s="51">
        <f t="shared" ref="L76:L104" si="239">CA76*L75+DI76</f>
        <v>269.49499980861532</v>
      </c>
      <c r="M76" s="51">
        <f t="shared" ref="M76:M104" si="240">CB76*M75+DJ76</f>
        <v>263.32476254763145</v>
      </c>
      <c r="N76" s="51">
        <f t="shared" ref="N76:N104" si="241">CC76*N75+DK76</f>
        <v>257.11803230250507</v>
      </c>
      <c r="O76" s="51">
        <f t="shared" ref="O76:O104" si="242">CD76*O75+DL76</f>
        <v>250.86976690514959</v>
      </c>
      <c r="P76" s="51">
        <f t="shared" ref="P76:P104" si="243">CE76*P75+DM76</f>
        <v>244.57538228352354</v>
      </c>
      <c r="Q76" s="51">
        <f t="shared" ref="Q76:Q104" si="244">CF76*Q75+DN76</f>
        <v>238.23080268374213</v>
      </c>
      <c r="R76" s="51">
        <f t="shared" ref="R76:R104" si="245">CG76*R75+DO76</f>
        <v>231.83250519040701</v>
      </c>
      <c r="S76" s="51">
        <f t="shared" ref="S76:S104" si="246">CH76*S75+DP76</f>
        <v>225.37755806338922</v>
      </c>
      <c r="T76" s="51">
        <f t="shared" ref="T76:T104" si="247">CI76*T75+DQ76</f>
        <v>218.86365248259483</v>
      </c>
      <c r="U76" s="51">
        <f t="shared" ref="U76:U104" si="248">CJ76*U75+DR76</f>
        <v>212.28912736948979</v>
      </c>
      <c r="V76" s="51">
        <f t="shared" ref="V76:V104" si="249">CK76*V75+DS76</f>
        <v>205.6529870343</v>
      </c>
      <c r="W76" s="51">
        <f t="shared" ref="W76:W104" si="250">CL76*W75+DT76</f>
        <v>198.95491147976759</v>
      </c>
      <c r="X76" s="51">
        <f t="shared" ref="X76:X104" si="251">CM76*X75+DU76</f>
        <v>192.19525927509093</v>
      </c>
      <c r="Y76" s="51">
        <f t="shared" ref="Y76:Y104" si="252">CN76*Y75+DV76</f>
        <v>185.37506299620694</v>
      </c>
      <c r="Z76" s="51">
        <f t="shared" ref="Z76:Z104" si="253">CO76*Z75+DW76</f>
        <v>178.4960173099343</v>
      </c>
      <c r="AA76" s="51">
        <f t="shared" ref="AA76:AA104" si="254">CP76*AA75+DX76</f>
        <v>171.56045985880479</v>
      </c>
      <c r="AB76" s="51">
        <f t="shared" ref="AB76:AB104" si="255">CQ76*AB75+DY76</f>
        <v>164.57134517985941</v>
      </c>
      <c r="AC76" s="51">
        <f t="shared" ref="AC76:AC104" si="256">CR76*AC75+DZ76</f>
        <v>157.53221196354829</v>
      </c>
      <c r="AD76" s="51">
        <f t="shared" ref="AD76:AD104" si="257">CS76*AD75+EA76</f>
        <v>150.44714402750094</v>
      </c>
      <c r="AE76" s="51">
        <f t="shared" ref="AE76:AE104" si="258">CT76*AE75+EB76</f>
        <v>143.32072544377087</v>
      </c>
      <c r="AF76" s="51">
        <f t="shared" ref="AF76:AF104" si="259">CU76*AF75+EC76</f>
        <v>136.15799031672185</v>
      </c>
      <c r="AG76" s="51">
        <f t="shared" ref="AG76:AG104" si="260">CV76*AG75+ED76</f>
        <v>128.96436776160937</v>
      </c>
      <c r="AH76" s="51">
        <f t="shared" ref="AH76:AH104" si="261">CW76*AH75+EE76</f>
        <v>121.74562268079134</v>
      </c>
      <c r="AI76" s="51">
        <f t="shared" ref="AI76:AI104" si="262">CX76*AI75+EF76</f>
        <v>114.50779297510562</v>
      </c>
      <c r="AJ76" s="51">
        <f t="shared" ref="AJ76:AJ104" si="263">CY76*AJ75+EG76</f>
        <v>107.25712386206641</v>
      </c>
      <c r="AK76" s="50">
        <f t="shared" si="141"/>
        <v>100</v>
      </c>
      <c r="AL76" s="21"/>
      <c r="AM76" s="41">
        <v>9.3333333333333338E-2</v>
      </c>
      <c r="AN76" s="37">
        <f t="shared" si="142"/>
        <v>-1076400000</v>
      </c>
      <c r="AO76" s="39">
        <f t="shared" si="143"/>
        <v>-1054602158.7266365</v>
      </c>
      <c r="AP76" s="39">
        <f t="shared" si="144"/>
        <v>-1032781014.5549747</v>
      </c>
      <c r="AQ76" s="39">
        <f t="shared" si="145"/>
        <v>-1010913522.1798333</v>
      </c>
      <c r="AR76" s="39">
        <f t="shared" si="146"/>
        <v>-988977148.55977321</v>
      </c>
      <c r="AS76" s="39">
        <f t="shared" si="147"/>
        <v>-966950121.7791853</v>
      </c>
      <c r="AT76" s="39">
        <f t="shared" si="148"/>
        <v>-944811671.28811097</v>
      </c>
      <c r="AU76" s="39">
        <f t="shared" si="149"/>
        <v>-922542256.81304038</v>
      </c>
      <c r="AV76" s="39">
        <f t="shared" si="150"/>
        <v>-900123783.37185836</v>
      </c>
      <c r="AW76" s="39">
        <f t="shared" si="151"/>
        <v>-877539799.99673116</v>
      </c>
      <c r="AX76" s="39">
        <f t="shared" si="152"/>
        <v>-854775679.9673655</v>
      </c>
      <c r="AY76" s="39">
        <f t="shared" si="153"/>
        <v>-831818780.58065212</v>
      </c>
      <c r="AZ76" s="39">
        <f t="shared" si="154"/>
        <v>-808658580.72784257</v>
      </c>
      <c r="BA76" s="39">
        <f t="shared" si="155"/>
        <v>-785286794.81350195</v>
      </c>
      <c r="BB76" s="39">
        <f t="shared" si="156"/>
        <v>-761697461.82775283</v>
      </c>
      <c r="BC76" s="39">
        <f t="shared" si="157"/>
        <v>-737887008.67097974</v>
      </c>
      <c r="BD76" s="39">
        <f t="shared" si="158"/>
        <v>-713854287.12433994</v>
      </c>
      <c r="BE76" s="39">
        <f t="shared" si="159"/>
        <v>-689600584.15641785</v>
      </c>
      <c r="BF76" s="39">
        <f t="shared" si="160"/>
        <v>-665129605.55254591</v>
      </c>
      <c r="BG76" s="39">
        <f t="shared" si="161"/>
        <v>-640447433.14529705</v>
      </c>
      <c r="BH76" s="39">
        <f t="shared" si="162"/>
        <v>-615562456.20925105</v>
      </c>
      <c r="BI76" s="39">
        <f t="shared" si="163"/>
        <v>-590485277.85747397</v>
      </c>
      <c r="BJ76" s="39">
        <f t="shared" si="164"/>
        <v>-565228597.53858328</v>
      </c>
      <c r="BK76" s="39">
        <f t="shared" si="165"/>
        <v>-539807070.97951508</v>
      </c>
      <c r="BL76" s="39">
        <f t="shared" si="166"/>
        <v>-514237149.14814645</v>
      </c>
      <c r="BM76" s="39">
        <f t="shared" si="167"/>
        <v>-488536898.02002859</v>
      </c>
      <c r="BN76" s="39">
        <f t="shared" si="168"/>
        <v>-462725801.12322146</v>
      </c>
      <c r="BO76" s="39">
        <f t="shared" si="169"/>
        <v>-436824547.00339198</v>
      </c>
      <c r="BP76" s="39">
        <f t="shared" si="170"/>
        <v>-410854803.8969959</v>
      </c>
      <c r="BQ76" s="39">
        <f t="shared" si="171"/>
        <v>-384838984.02273411</v>
      </c>
      <c r="BR76" s="37">
        <f t="shared" si="172"/>
        <v>-358800000</v>
      </c>
      <c r="BT76" s="34"/>
      <c r="BU76" s="41">
        <v>9.3333333333333338E-2</v>
      </c>
      <c r="BV76" s="37">
        <f t="shared" si="173"/>
        <v>0.40647187995004247</v>
      </c>
      <c r="BW76" s="39">
        <f t="shared" si="174"/>
        <v>0.40647187995004247</v>
      </c>
      <c r="BX76" s="39">
        <f t="shared" si="175"/>
        <v>0.40647187995004247</v>
      </c>
      <c r="BY76" s="39">
        <f t="shared" si="176"/>
        <v>0.40647187995004247</v>
      </c>
      <c r="BZ76" s="39">
        <f t="shared" si="177"/>
        <v>0.40647187995004247</v>
      </c>
      <c r="CA76" s="39">
        <f t="shared" si="178"/>
        <v>0.40647187995004247</v>
      </c>
      <c r="CB76" s="39">
        <f t="shared" si="179"/>
        <v>0.40647187995004247</v>
      </c>
      <c r="CC76" s="39">
        <f t="shared" si="180"/>
        <v>0.40647187995004247</v>
      </c>
      <c r="CD76" s="39">
        <f t="shared" si="181"/>
        <v>0.40647187995004247</v>
      </c>
      <c r="CE76" s="39">
        <f t="shared" si="182"/>
        <v>0.40647187995004247</v>
      </c>
      <c r="CF76" s="39">
        <f t="shared" si="183"/>
        <v>0.40647187995004247</v>
      </c>
      <c r="CG76" s="39">
        <f t="shared" si="184"/>
        <v>0.40647187995004247</v>
      </c>
      <c r="CH76" s="39">
        <f t="shared" si="185"/>
        <v>0.40647187995004247</v>
      </c>
      <c r="CI76" s="39">
        <f t="shared" si="186"/>
        <v>0.40647187995004247</v>
      </c>
      <c r="CJ76" s="39">
        <f t="shared" si="187"/>
        <v>0.40647187995004247</v>
      </c>
      <c r="CK76" s="39">
        <f t="shared" si="188"/>
        <v>0.40647187995004247</v>
      </c>
      <c r="CL76" s="39">
        <f t="shared" si="189"/>
        <v>0.40647187995004247</v>
      </c>
      <c r="CM76" s="39">
        <f t="shared" si="190"/>
        <v>0.40647187995004247</v>
      </c>
      <c r="CN76" s="39">
        <f t="shared" si="191"/>
        <v>0.40647187995004247</v>
      </c>
      <c r="CO76" s="39">
        <f t="shared" si="192"/>
        <v>0.40647187995004247</v>
      </c>
      <c r="CP76" s="39">
        <f t="shared" si="193"/>
        <v>0.40647187995004247</v>
      </c>
      <c r="CQ76" s="39">
        <f t="shared" si="194"/>
        <v>0.40647187995004247</v>
      </c>
      <c r="CR76" s="39">
        <f t="shared" si="195"/>
        <v>0.40647187995004247</v>
      </c>
      <c r="CS76" s="39">
        <f t="shared" si="196"/>
        <v>0.40647187995004247</v>
      </c>
      <c r="CT76" s="39">
        <f t="shared" si="197"/>
        <v>0.40647187995004247</v>
      </c>
      <c r="CU76" s="39">
        <f t="shared" si="198"/>
        <v>0.40647187995004247</v>
      </c>
      <c r="CV76" s="39">
        <f t="shared" si="199"/>
        <v>0.40647187995004247</v>
      </c>
      <c r="CW76" s="39">
        <f t="shared" si="200"/>
        <v>0.40647187995004247</v>
      </c>
      <c r="CX76" s="39">
        <f t="shared" si="201"/>
        <v>0.40647187995004247</v>
      </c>
      <c r="CY76" s="39">
        <f t="shared" si="202"/>
        <v>0.40647187995004247</v>
      </c>
      <c r="CZ76" s="37">
        <f t="shared" si="203"/>
        <v>0.40647187995004247</v>
      </c>
      <c r="DB76" s="34"/>
      <c r="DC76" s="41">
        <v>9.3333333333333338E-2</v>
      </c>
      <c r="DD76" s="37">
        <f t="shared" si="204"/>
        <v>178.05843601498725</v>
      </c>
      <c r="DE76" s="39">
        <f t="shared" si="205"/>
        <v>174.45251575641461</v>
      </c>
      <c r="DF76" s="39">
        <f t="shared" si="206"/>
        <v>170.84274201242437</v>
      </c>
      <c r="DG76" s="39">
        <f t="shared" si="207"/>
        <v>167.22530389308682</v>
      </c>
      <c r="DH76" s="39">
        <f t="shared" si="208"/>
        <v>163.59647521624771</v>
      </c>
      <c r="DI76" s="39">
        <f t="shared" si="209"/>
        <v>159.95265565943873</v>
      </c>
      <c r="DJ76" s="39">
        <f t="shared" si="210"/>
        <v>156.29041048618546</v>
      </c>
      <c r="DK76" s="39">
        <f t="shared" si="211"/>
        <v>152.60650839916681</v>
      </c>
      <c r="DL76" s="39">
        <f t="shared" si="212"/>
        <v>148.89795709580622</v>
      </c>
      <c r="DM76" s="39">
        <f t="shared" si="213"/>
        <v>145.16203613007463</v>
      </c>
      <c r="DN76" s="39">
        <f t="shared" si="214"/>
        <v>141.39632671711675</v>
      </c>
      <c r="DO76" s="39">
        <f t="shared" si="215"/>
        <v>137.59873815426823</v>
      </c>
      <c r="DP76" s="39">
        <f t="shared" si="216"/>
        <v>133.76753057255013</v>
      </c>
      <c r="DQ76" s="39">
        <f t="shared" si="217"/>
        <v>129.90133377621893</v>
      </c>
      <c r="DR76" s="39">
        <f t="shared" si="218"/>
        <v>125.99916197378617</v>
      </c>
      <c r="DS76" s="39">
        <f t="shared" si="219"/>
        <v>122.06042425147763</v>
      </c>
      <c r="DT76" s="39">
        <f t="shared" si="220"/>
        <v>118.08493068873955</v>
      </c>
      <c r="DU76" s="39">
        <f t="shared" si="221"/>
        <v>114.07289406450434</v>
      </c>
      <c r="DV76" s="39">
        <f t="shared" si="222"/>
        <v>110.02492715190482</v>
      </c>
      <c r="DW76" s="39">
        <f t="shared" si="223"/>
        <v>105.94203564741007</v>
      </c>
      <c r="DX76" s="39">
        <f t="shared" si="224"/>
        <v>101.82560682742358</v>
      </c>
      <c r="DY76" s="39">
        <f t="shared" si="225"/>
        <v>97.677394070756577</v>
      </c>
      <c r="DZ76" s="39">
        <f t="shared" si="226"/>
        <v>93.499497428633617</v>
      </c>
      <c r="EA76" s="39">
        <f t="shared" si="227"/>
        <v>89.294340464620277</v>
      </c>
      <c r="EB76" s="39">
        <f t="shared" si="228"/>
        <v>85.064643624752748</v>
      </c>
      <c r="EC76" s="39">
        <f t="shared" si="229"/>
        <v>80.813394432910286</v>
      </c>
      <c r="ED76" s="39">
        <f t="shared" si="230"/>
        <v>76.543814837863323</v>
      </c>
      <c r="EE76" s="39">
        <f t="shared" si="231"/>
        <v>72.259326066258268</v>
      </c>
      <c r="EF76" s="39">
        <f t="shared" si="232"/>
        <v>67.963511359902142</v>
      </c>
      <c r="EG76" s="39">
        <f t="shared" si="233"/>
        <v>63.660076995961468</v>
      </c>
      <c r="EH76" s="37">
        <f t="shared" si="234"/>
        <v>59.352812004995762</v>
      </c>
    </row>
    <row r="77" spans="5:138" x14ac:dyDescent="0.25">
      <c r="E77" s="32"/>
      <c r="F77" s="41">
        <v>9.0000000000000011E-2</v>
      </c>
      <c r="G77" s="50">
        <f t="shared" si="139"/>
        <v>300</v>
      </c>
      <c r="H77" s="51">
        <f t="shared" si="235"/>
        <v>293.92446327773445</v>
      </c>
      <c r="I77" s="51">
        <f t="shared" si="236"/>
        <v>287.84243559773915</v>
      </c>
      <c r="J77" s="51">
        <f t="shared" si="237"/>
        <v>281.74749775004386</v>
      </c>
      <c r="K77" s="51">
        <f t="shared" si="238"/>
        <v>275.63337320636896</v>
      </c>
      <c r="L77" s="51">
        <f t="shared" si="239"/>
        <v>269.49399743654538</v>
      </c>
      <c r="M77" s="51">
        <f t="shared" si="240"/>
        <v>263.32358482385791</v>
      </c>
      <c r="N77" s="51">
        <f t="shared" si="241"/>
        <v>257.11669242551852</v>
      </c>
      <c r="O77" s="51">
        <f t="shared" si="242"/>
        <v>250.86827986341385</v>
      </c>
      <c r="P77" s="51">
        <f t="shared" si="243"/>
        <v>244.57376467775305</v>
      </c>
      <c r="Q77" s="51">
        <f t="shared" si="244"/>
        <v>238.22907253152658</v>
      </c>
      <c r="R77" s="51">
        <f t="shared" si="245"/>
        <v>231.83068171591574</v>
      </c>
      <c r="S77" s="51">
        <f t="shared" si="246"/>
        <v>225.37566147502287</v>
      </c>
      <c r="T77" s="51">
        <f t="shared" si="247"/>
        <v>218.86170374153318</v>
      </c>
      <c r="U77" s="51">
        <f t="shared" si="248"/>
        <v>212.28714795210982</v>
      </c>
      <c r="V77" s="51">
        <f t="shared" si="249"/>
        <v>205.65099869141167</v>
      </c>
      <c r="W77" s="51">
        <f t="shared" si="250"/>
        <v>198.95293599554208</v>
      </c>
      <c r="X77" s="51">
        <f t="shared" si="251"/>
        <v>192.19331822844055</v>
      </c>
      <c r="Y77" s="51">
        <f t="shared" si="252"/>
        <v>185.37317752722606</v>
      </c>
      <c r="Z77" s="51">
        <f t="shared" si="253"/>
        <v>178.49420789383237</v>
      </c>
      <c r="AA77" s="51">
        <f t="shared" si="254"/>
        <v>171.55874608956339</v>
      </c>
      <c r="AB77" s="51">
        <f t="shared" si="255"/>
        <v>164.56974556563347</v>
      </c>
      <c r="AC77" s="51">
        <f t="shared" si="256"/>
        <v>157.53074373561083</v>
      </c>
      <c r="AD77" s="51">
        <f t="shared" si="257"/>
        <v>150.44582296431304</v>
      </c>
      <c r="AE77" s="51">
        <f t="shared" si="258"/>
        <v>143.31956571154305</v>
      </c>
      <c r="AF77" s="51">
        <f t="shared" si="259"/>
        <v>136.15700432762782</v>
      </c>
      <c r="AG77" s="51">
        <f t="shared" si="260"/>
        <v>128.96356605062184</v>
      </c>
      <c r="AH77" s="51">
        <f t="shared" si="261"/>
        <v>121.74501380193098</v>
      </c>
      <c r="AI77" s="51">
        <f t="shared" si="262"/>
        <v>114.5073834177329</v>
      </c>
      <c r="AJ77" s="51">
        <f t="shared" si="263"/>
        <v>107.25691798769823</v>
      </c>
      <c r="AK77" s="50">
        <f t="shared" si="141"/>
        <v>100</v>
      </c>
      <c r="AL77" s="21"/>
      <c r="AM77" s="41">
        <v>9.0000000000000011E-2</v>
      </c>
      <c r="AN77" s="37">
        <f t="shared" si="142"/>
        <v>-1076400000</v>
      </c>
      <c r="AO77" s="39">
        <f t="shared" si="143"/>
        <v>-1054601395.5830431</v>
      </c>
      <c r="AP77" s="39">
        <f t="shared" si="144"/>
        <v>-1032779496.8639083</v>
      </c>
      <c r="AQ77" s="39">
        <f t="shared" si="145"/>
        <v>-1010911267.0290526</v>
      </c>
      <c r="AR77" s="39">
        <f t="shared" si="146"/>
        <v>-988974181.32130861</v>
      </c>
      <c r="AS77" s="39">
        <f t="shared" si="147"/>
        <v>-966946475.8022486</v>
      </c>
      <c r="AT77" s="39">
        <f t="shared" si="148"/>
        <v>-944807387.49692333</v>
      </c>
      <c r="AU77" s="39">
        <f t="shared" si="149"/>
        <v>-922537383.21560395</v>
      </c>
      <c r="AV77" s="39">
        <f t="shared" si="150"/>
        <v>-900118374.48693764</v>
      </c>
      <c r="AW77" s="39">
        <f t="shared" si="151"/>
        <v>-877533916.20738614</v>
      </c>
      <c r="AX77" s="39">
        <f t="shared" si="152"/>
        <v>-854769386.81027496</v>
      </c>
      <c r="AY77" s="39">
        <f t="shared" si="153"/>
        <v>-831812147.98116875</v>
      </c>
      <c r="AZ77" s="39">
        <f t="shared" si="154"/>
        <v>-808651682.19121134</v>
      </c>
      <c r="BA77" s="39">
        <f t="shared" si="155"/>
        <v>-785279706.58296788</v>
      </c>
      <c r="BB77" s="39">
        <f t="shared" si="156"/>
        <v>-761690262.02037799</v>
      </c>
      <c r="BC77" s="39">
        <f t="shared" si="157"/>
        <v>-737879776.40189087</v>
      </c>
      <c r="BD77" s="39">
        <f t="shared" si="158"/>
        <v>-713847101.6298629</v>
      </c>
      <c r="BE77" s="39">
        <f t="shared" si="159"/>
        <v>-689593523.92613709</v>
      </c>
      <c r="BF77" s="39">
        <f t="shared" si="160"/>
        <v>-665122747.47977865</v>
      </c>
      <c r="BG77" s="39">
        <f t="shared" si="161"/>
        <v>-640440851.70482337</v>
      </c>
      <c r="BH77" s="39">
        <f t="shared" si="162"/>
        <v>-615556222.67042208</v>
      </c>
      <c r="BI77" s="39">
        <f t="shared" si="163"/>
        <v>-590479459.54003894</v>
      </c>
      <c r="BJ77" s="39">
        <f t="shared" si="164"/>
        <v>-565223257.11778486</v>
      </c>
      <c r="BK77" s="39">
        <f t="shared" si="165"/>
        <v>-539802265.84620237</v>
      </c>
      <c r="BL77" s="39">
        <f t="shared" si="166"/>
        <v>-514232930.82887304</v>
      </c>
      <c r="BM77" s="39">
        <f t="shared" si="167"/>
        <v>-488533311.66135991</v>
      </c>
      <c r="BN77" s="39">
        <f t="shared" si="168"/>
        <v>-462722885.04377359</v>
      </c>
      <c r="BO77" s="39">
        <f t="shared" si="169"/>
        <v>-436822332.31648171</v>
      </c>
      <c r="BP77" s="39">
        <f t="shared" si="170"/>
        <v>-410853314.20618826</v>
      </c>
      <c r="BQ77" s="39">
        <f t="shared" si="171"/>
        <v>-384838235.19204146</v>
      </c>
      <c r="BR77" s="37">
        <f t="shared" si="172"/>
        <v>-358800000</v>
      </c>
      <c r="BT77" s="34"/>
      <c r="BU77" s="41">
        <v>9.0000000000000011E-2</v>
      </c>
      <c r="BV77" s="37">
        <f t="shared" si="173"/>
        <v>0.40647187995004247</v>
      </c>
      <c r="BW77" s="39">
        <f t="shared" si="174"/>
        <v>0.40647187995004247</v>
      </c>
      <c r="BX77" s="39">
        <f t="shared" si="175"/>
        <v>0.40647187995004247</v>
      </c>
      <c r="BY77" s="39">
        <f t="shared" si="176"/>
        <v>0.40647187995004247</v>
      </c>
      <c r="BZ77" s="39">
        <f t="shared" si="177"/>
        <v>0.40647187995004247</v>
      </c>
      <c r="CA77" s="39">
        <f t="shared" si="178"/>
        <v>0.40647187995004247</v>
      </c>
      <c r="CB77" s="39">
        <f t="shared" si="179"/>
        <v>0.40647187995004247</v>
      </c>
      <c r="CC77" s="39">
        <f t="shared" si="180"/>
        <v>0.40647187995004247</v>
      </c>
      <c r="CD77" s="39">
        <f t="shared" si="181"/>
        <v>0.40647187995004247</v>
      </c>
      <c r="CE77" s="39">
        <f t="shared" si="182"/>
        <v>0.40647187995004247</v>
      </c>
      <c r="CF77" s="39">
        <f t="shared" si="183"/>
        <v>0.40647187995004247</v>
      </c>
      <c r="CG77" s="39">
        <f t="shared" si="184"/>
        <v>0.40647187995004247</v>
      </c>
      <c r="CH77" s="39">
        <f t="shared" si="185"/>
        <v>0.40647187995004247</v>
      </c>
      <c r="CI77" s="39">
        <f t="shared" si="186"/>
        <v>0.40647187995004247</v>
      </c>
      <c r="CJ77" s="39">
        <f t="shared" si="187"/>
        <v>0.40647187995004247</v>
      </c>
      <c r="CK77" s="39">
        <f t="shared" si="188"/>
        <v>0.40647187995004247</v>
      </c>
      <c r="CL77" s="39">
        <f t="shared" si="189"/>
        <v>0.40647187995004247</v>
      </c>
      <c r="CM77" s="39">
        <f t="shared" si="190"/>
        <v>0.40647187995004247</v>
      </c>
      <c r="CN77" s="39">
        <f t="shared" si="191"/>
        <v>0.40647187995004247</v>
      </c>
      <c r="CO77" s="39">
        <f t="shared" si="192"/>
        <v>0.40647187995004247</v>
      </c>
      <c r="CP77" s="39">
        <f t="shared" si="193"/>
        <v>0.40647187995004247</v>
      </c>
      <c r="CQ77" s="39">
        <f t="shared" si="194"/>
        <v>0.40647187995004247</v>
      </c>
      <c r="CR77" s="39">
        <f t="shared" si="195"/>
        <v>0.40647187995004247</v>
      </c>
      <c r="CS77" s="39">
        <f t="shared" si="196"/>
        <v>0.40647187995004247</v>
      </c>
      <c r="CT77" s="39">
        <f t="shared" si="197"/>
        <v>0.40647187995004247</v>
      </c>
      <c r="CU77" s="39">
        <f t="shared" si="198"/>
        <v>0.40647187995004247</v>
      </c>
      <c r="CV77" s="39">
        <f t="shared" si="199"/>
        <v>0.40647187995004247</v>
      </c>
      <c r="CW77" s="39">
        <f t="shared" si="200"/>
        <v>0.40647187995004247</v>
      </c>
      <c r="CX77" s="39">
        <f t="shared" si="201"/>
        <v>0.40647187995004247</v>
      </c>
      <c r="CY77" s="39">
        <f t="shared" si="202"/>
        <v>0.40647187995004247</v>
      </c>
      <c r="CZ77" s="37">
        <f t="shared" si="203"/>
        <v>0.40647187995004247</v>
      </c>
      <c r="DB77" s="34"/>
      <c r="DC77" s="41">
        <v>9.0000000000000011E-2</v>
      </c>
      <c r="DD77" s="37">
        <f t="shared" si="204"/>
        <v>178.05843601498725</v>
      </c>
      <c r="DE77" s="39">
        <f t="shared" si="205"/>
        <v>174.452348845068</v>
      </c>
      <c r="DF77" s="39">
        <f t="shared" si="206"/>
        <v>170.84241006980943</v>
      </c>
      <c r="DG77" s="39">
        <f t="shared" si="207"/>
        <v>167.22481065650985</v>
      </c>
      <c r="DH77" s="39">
        <f t="shared" si="208"/>
        <v>163.59582623489149</v>
      </c>
      <c r="DI77" s="39">
        <f t="shared" si="209"/>
        <v>159.9518582272012</v>
      </c>
      <c r="DJ77" s="39">
        <f t="shared" si="210"/>
        <v>156.28947355372361</v>
      </c>
      <c r="DK77" s="39">
        <f t="shared" si="211"/>
        <v>152.60544246646356</v>
      </c>
      <c r="DL77" s="39">
        <f t="shared" si="212"/>
        <v>148.89677408684875</v>
      </c>
      <c r="DM77" s="39">
        <f t="shared" si="213"/>
        <v>145.16074925146893</v>
      </c>
      <c r="DN77" s="39">
        <f t="shared" si="214"/>
        <v>141.39495030265829</v>
      </c>
      <c r="DO77" s="39">
        <f t="shared" si="215"/>
        <v>137.59728749764304</v>
      </c>
      <c r="DP77" s="39">
        <f t="shared" si="216"/>
        <v>133.76602175044718</v>
      </c>
      <c r="DQ77" s="39">
        <f t="shared" si="217"/>
        <v>129.89978346420008</v>
      </c>
      <c r="DR77" s="39">
        <f t="shared" si="218"/>
        <v>125.99758725727928</v>
      </c>
      <c r="DS77" s="39">
        <f t="shared" si="219"/>
        <v>122.05884243423804</v>
      </c>
      <c r="DT77" s="39">
        <f t="shared" si="220"/>
        <v>118.08335910106666</v>
      </c>
      <c r="DU77" s="39">
        <f t="shared" si="221"/>
        <v>114.07134987340849</v>
      </c>
      <c r="DV77" s="39">
        <f t="shared" si="222"/>
        <v>110.02342717530027</v>
      </c>
      <c r="DW77" s="39">
        <f t="shared" si="223"/>
        <v>105.94059617426804</v>
      </c>
      <c r="DX77" s="39">
        <f t="shared" si="224"/>
        <v>101.82424344566122</v>
      </c>
      <c r="DY77" s="39">
        <f t="shared" si="225"/>
        <v>97.67612150446864</v>
      </c>
      <c r="DZ77" s="39">
        <f t="shared" si="226"/>
        <v>93.49832938609876</v>
      </c>
      <c r="EA77" s="39">
        <f t="shared" si="227"/>
        <v>89.293289498339931</v>
      </c>
      <c r="EB77" s="39">
        <f t="shared" si="228"/>
        <v>85.063721004609619</v>
      </c>
      <c r="EC77" s="39">
        <f t="shared" si="229"/>
        <v>80.81261003337022</v>
      </c>
      <c r="ED77" s="39">
        <f t="shared" si="230"/>
        <v>76.543177039991818</v>
      </c>
      <c r="EE77" s="39">
        <f t="shared" si="231"/>
        <v>72.258841675181188</v>
      </c>
      <c r="EF77" s="39">
        <f t="shared" si="232"/>
        <v>67.963185538211448</v>
      </c>
      <c r="EG77" s="39">
        <f t="shared" si="233"/>
        <v>63.659913213449535</v>
      </c>
      <c r="EH77" s="37">
        <f t="shared" si="234"/>
        <v>59.352812004995762</v>
      </c>
    </row>
    <row r="78" spans="5:138" x14ac:dyDescent="0.25">
      <c r="E78" s="32"/>
      <c r="F78" s="41">
        <v>8.666666666666667E-2</v>
      </c>
      <c r="G78" s="50">
        <f t="shared" si="139"/>
        <v>300</v>
      </c>
      <c r="H78" s="51">
        <f t="shared" si="235"/>
        <v>293.92415169665247</v>
      </c>
      <c r="I78" s="51">
        <f t="shared" si="236"/>
        <v>287.84181594517582</v>
      </c>
      <c r="J78" s="51">
        <f t="shared" si="237"/>
        <v>281.74657700254602</v>
      </c>
      <c r="K78" s="51">
        <f t="shared" si="238"/>
        <v>275.6321617227735</v>
      </c>
      <c r="L78" s="51">
        <f t="shared" si="239"/>
        <v>269.49250883260981</v>
      </c>
      <c r="M78" s="51">
        <f t="shared" si="240"/>
        <v>263.32183580807435</v>
      </c>
      <c r="N78" s="51">
        <f t="shared" si="241"/>
        <v>257.11470259856981</v>
      </c>
      <c r="O78" s="51">
        <f t="shared" si="242"/>
        <v>250.86607148423641</v>
      </c>
      <c r="P78" s="51">
        <f t="shared" si="243"/>
        <v>244.57136239961338</v>
      </c>
      <c r="Q78" s="51">
        <f t="shared" si="244"/>
        <v>238.22650311188164</v>
      </c>
      <c r="R78" s="51">
        <f t="shared" si="245"/>
        <v>231.82797370411453</v>
      </c>
      <c r="S78" s="51">
        <f t="shared" si="246"/>
        <v>225.37284488210832</v>
      </c>
      <c r="T78" s="51">
        <f t="shared" si="247"/>
        <v>218.85880969652302</v>
      </c>
      <c r="U78" s="51">
        <f t="shared" si="248"/>
        <v>212.2842083491723</v>
      </c>
      <c r="V78" s="51">
        <f t="shared" si="249"/>
        <v>205.64804583231421</v>
      </c>
      <c r="W78" s="51">
        <f t="shared" si="250"/>
        <v>198.95000223164072</v>
      </c>
      <c r="X78" s="51">
        <f t="shared" si="251"/>
        <v>192.19043560630891</v>
      </c>
      <c r="Y78" s="51">
        <f t="shared" si="252"/>
        <v>185.37037744179793</v>
      </c>
      <c r="Z78" s="51">
        <f t="shared" si="253"/>
        <v>178.49152075266926</v>
      </c>
      <c r="AA78" s="51">
        <f t="shared" si="254"/>
        <v>171.55620099156147</v>
      </c>
      <c r="AB78" s="51">
        <f t="shared" si="255"/>
        <v>164.56736999716929</v>
      </c>
      <c r="AC78" s="51">
        <f t="shared" si="256"/>
        <v>157.52856328680053</v>
      </c>
      <c r="AD78" s="51">
        <f t="shared" si="257"/>
        <v>150.44386106773209</v>
      </c>
      <c r="AE78" s="51">
        <f t="shared" si="258"/>
        <v>143.31784340543678</v>
      </c>
      <c r="AF78" s="51">
        <f t="shared" si="259"/>
        <v>136.15554004533783</v>
      </c>
      <c r="AG78" s="51">
        <f t="shared" si="260"/>
        <v>128.96237543766748</v>
      </c>
      <c r="AH78" s="51">
        <f t="shared" si="261"/>
        <v>121.74410956192244</v>
      </c>
      <c r="AI78" s="51">
        <f t="shared" si="262"/>
        <v>114.50677518805031</v>
      </c>
      <c r="AJ78" s="51">
        <f t="shared" si="263"/>
        <v>107.25661224565366</v>
      </c>
      <c r="AK78" s="50">
        <f t="shared" si="141"/>
        <v>100</v>
      </c>
      <c r="AL78" s="21"/>
      <c r="AM78" s="41">
        <v>8.666666666666667E-2</v>
      </c>
      <c r="AN78" s="37">
        <f t="shared" si="142"/>
        <v>-1076400000</v>
      </c>
      <c r="AO78" s="39">
        <f t="shared" si="143"/>
        <v>-1054600262.2607923</v>
      </c>
      <c r="AP78" s="39">
        <f t="shared" si="144"/>
        <v>-1032777242.9851282</v>
      </c>
      <c r="AQ78" s="39">
        <f t="shared" si="145"/>
        <v>-1010907917.9700307</v>
      </c>
      <c r="AR78" s="39">
        <f t="shared" si="146"/>
        <v>-988969774.76095808</v>
      </c>
      <c r="AS78" s="39">
        <f t="shared" si="147"/>
        <v>-966941061.26607525</v>
      </c>
      <c r="AT78" s="39">
        <f t="shared" si="148"/>
        <v>-944801025.75979662</v>
      </c>
      <c r="AU78" s="39">
        <f t="shared" si="149"/>
        <v>-922530145.57227755</v>
      </c>
      <c r="AV78" s="39">
        <f t="shared" si="150"/>
        <v>-900110341.90110517</v>
      </c>
      <c r="AW78" s="39">
        <f t="shared" si="151"/>
        <v>-877525178.35166466</v>
      </c>
      <c r="AX78" s="39">
        <f t="shared" si="152"/>
        <v>-854760041.01083326</v>
      </c>
      <c r="AY78" s="39">
        <f t="shared" si="153"/>
        <v>-831802298.08175778</v>
      </c>
      <c r="AZ78" s="39">
        <f t="shared" si="154"/>
        <v>-808641437.35209262</v>
      </c>
      <c r="BA78" s="39">
        <f t="shared" si="155"/>
        <v>-785269180.03066719</v>
      </c>
      <c r="BB78" s="39">
        <f t="shared" si="156"/>
        <v>-761679569.76432812</v>
      </c>
      <c r="BC78" s="39">
        <f t="shared" si="157"/>
        <v>-737869035.933887</v>
      </c>
      <c r="BD78" s="39">
        <f t="shared" si="158"/>
        <v>-713836430.62185895</v>
      </c>
      <c r="BE78" s="39">
        <f t="shared" si="159"/>
        <v>-689583038.94128752</v>
      </c>
      <c r="BF78" s="39">
        <f t="shared" si="160"/>
        <v>-665112562.71081924</v>
      </c>
      <c r="BG78" s="39">
        <f t="shared" si="161"/>
        <v>-640431077.75292683</v>
      </c>
      <c r="BH78" s="39">
        <f t="shared" si="162"/>
        <v>-615546965.37657976</v>
      </c>
      <c r="BI78" s="39">
        <f t="shared" si="163"/>
        <v>-590470818.87988269</v>
      </c>
      <c r="BJ78" s="39">
        <f t="shared" si="164"/>
        <v>-565215326.16957128</v>
      </c>
      <c r="BK78" s="39">
        <f t="shared" si="165"/>
        <v>-539795129.84049714</v>
      </c>
      <c r="BL78" s="39">
        <f t="shared" si="166"/>
        <v>-514226666.28731817</v>
      </c>
      <c r="BM78" s="39">
        <f t="shared" si="167"/>
        <v>-488527985.63079536</v>
      </c>
      <c r="BN78" s="39">
        <f t="shared" si="168"/>
        <v>-462718554.4309485</v>
      </c>
      <c r="BO78" s="39">
        <f t="shared" si="169"/>
        <v>-436819043.32762998</v>
      </c>
      <c r="BP78" s="39">
        <f t="shared" si="170"/>
        <v>-410851101.89486766</v>
      </c>
      <c r="BQ78" s="39">
        <f t="shared" si="171"/>
        <v>-384837123.1178413</v>
      </c>
      <c r="BR78" s="37">
        <f t="shared" si="172"/>
        <v>-358800000</v>
      </c>
      <c r="BT78" s="34"/>
      <c r="BU78" s="41">
        <v>8.666666666666667E-2</v>
      </c>
      <c r="BV78" s="37">
        <f t="shared" si="173"/>
        <v>0.40647187995004247</v>
      </c>
      <c r="BW78" s="39">
        <f t="shared" si="174"/>
        <v>0.40647187995004247</v>
      </c>
      <c r="BX78" s="39">
        <f t="shared" si="175"/>
        <v>0.40647187995004247</v>
      </c>
      <c r="BY78" s="39">
        <f t="shared" si="176"/>
        <v>0.40647187995004247</v>
      </c>
      <c r="BZ78" s="39">
        <f t="shared" si="177"/>
        <v>0.40647187995004247</v>
      </c>
      <c r="CA78" s="39">
        <f t="shared" si="178"/>
        <v>0.40647187995004247</v>
      </c>
      <c r="CB78" s="39">
        <f t="shared" si="179"/>
        <v>0.40647187995004247</v>
      </c>
      <c r="CC78" s="39">
        <f t="shared" si="180"/>
        <v>0.40647187995004247</v>
      </c>
      <c r="CD78" s="39">
        <f t="shared" si="181"/>
        <v>0.40647187995004247</v>
      </c>
      <c r="CE78" s="39">
        <f t="shared" si="182"/>
        <v>0.40647187995004247</v>
      </c>
      <c r="CF78" s="39">
        <f t="shared" si="183"/>
        <v>0.40647187995004247</v>
      </c>
      <c r="CG78" s="39">
        <f t="shared" si="184"/>
        <v>0.40647187995004247</v>
      </c>
      <c r="CH78" s="39">
        <f t="shared" si="185"/>
        <v>0.40647187995004247</v>
      </c>
      <c r="CI78" s="39">
        <f t="shared" si="186"/>
        <v>0.40647187995004247</v>
      </c>
      <c r="CJ78" s="39">
        <f t="shared" si="187"/>
        <v>0.40647187995004247</v>
      </c>
      <c r="CK78" s="39">
        <f t="shared" si="188"/>
        <v>0.40647187995004247</v>
      </c>
      <c r="CL78" s="39">
        <f t="shared" si="189"/>
        <v>0.40647187995004247</v>
      </c>
      <c r="CM78" s="39">
        <f t="shared" si="190"/>
        <v>0.40647187995004247</v>
      </c>
      <c r="CN78" s="39">
        <f t="shared" si="191"/>
        <v>0.40647187995004247</v>
      </c>
      <c r="CO78" s="39">
        <f t="shared" si="192"/>
        <v>0.40647187995004247</v>
      </c>
      <c r="CP78" s="39">
        <f t="shared" si="193"/>
        <v>0.40647187995004247</v>
      </c>
      <c r="CQ78" s="39">
        <f t="shared" si="194"/>
        <v>0.40647187995004247</v>
      </c>
      <c r="CR78" s="39">
        <f t="shared" si="195"/>
        <v>0.40647187995004247</v>
      </c>
      <c r="CS78" s="39">
        <f t="shared" si="196"/>
        <v>0.40647187995004247</v>
      </c>
      <c r="CT78" s="39">
        <f t="shared" si="197"/>
        <v>0.40647187995004247</v>
      </c>
      <c r="CU78" s="39">
        <f t="shared" si="198"/>
        <v>0.40647187995004247</v>
      </c>
      <c r="CV78" s="39">
        <f t="shared" si="199"/>
        <v>0.40647187995004247</v>
      </c>
      <c r="CW78" s="39">
        <f t="shared" si="200"/>
        <v>0.40647187995004247</v>
      </c>
      <c r="CX78" s="39">
        <f t="shared" si="201"/>
        <v>0.40647187995004247</v>
      </c>
      <c r="CY78" s="39">
        <f t="shared" si="202"/>
        <v>0.40647187995004247</v>
      </c>
      <c r="CZ78" s="37">
        <f t="shared" si="203"/>
        <v>0.40647187995004247</v>
      </c>
      <c r="DB78" s="34"/>
      <c r="DC78" s="41">
        <v>8.666666666666667E-2</v>
      </c>
      <c r="DD78" s="37">
        <f t="shared" si="204"/>
        <v>178.05843601498725</v>
      </c>
      <c r="DE78" s="39">
        <f t="shared" si="205"/>
        <v>174.45212254484451</v>
      </c>
      <c r="DF78" s="39">
        <f t="shared" si="206"/>
        <v>170.84196001836375</v>
      </c>
      <c r="DG78" s="39">
        <f t="shared" si="207"/>
        <v>167.22414192086535</v>
      </c>
      <c r="DH78" s="39">
        <f t="shared" si="208"/>
        <v>163.59494633860902</v>
      </c>
      <c r="DI78" s="39">
        <f t="shared" si="209"/>
        <v>159.95077705932528</v>
      </c>
      <c r="DJ78" s="39">
        <f t="shared" si="210"/>
        <v>156.28820324953634</v>
      </c>
      <c r="DK78" s="39">
        <f t="shared" si="211"/>
        <v>152.60399726183243</v>
      </c>
      <c r="DL78" s="39">
        <f t="shared" si="212"/>
        <v>148.8951701483212</v>
      </c>
      <c r="DM78" s="39">
        <f t="shared" si="213"/>
        <v>145.1590044845878</v>
      </c>
      <c r="DN78" s="39">
        <f t="shared" si="214"/>
        <v>141.39308414123701</v>
      </c>
      <c r="DO78" s="39">
        <f t="shared" si="215"/>
        <v>137.59532067694633</v>
      </c>
      <c r="DP78" s="39">
        <f t="shared" si="216"/>
        <v>133.76397606737143</v>
      </c>
      <c r="DQ78" s="39">
        <f t="shared" si="217"/>
        <v>129.89768152763278</v>
      </c>
      <c r="DR78" s="39">
        <f t="shared" si="218"/>
        <v>125.99545223184542</v>
      </c>
      <c r="DS78" s="39">
        <f t="shared" si="219"/>
        <v>122.05669778061238</v>
      </c>
      <c r="DT78" s="39">
        <f t="shared" si="220"/>
        <v>118.08122831595227</v>
      </c>
      <c r="DU78" s="39">
        <f t="shared" si="221"/>
        <v>114.06925623215791</v>
      </c>
      <c r="DV78" s="39">
        <f t="shared" si="222"/>
        <v>110.02139347999336</v>
      </c>
      <c r="DW78" s="39">
        <f t="shared" si="223"/>
        <v>105.93864450986952</v>
      </c>
      <c r="DX78" s="39">
        <f t="shared" si="224"/>
        <v>101.82239494666464</v>
      </c>
      <c r="DY78" s="39">
        <f t="shared" si="225"/>
        <v>97.674396134206091</v>
      </c>
      <c r="DZ78" s="39">
        <f t="shared" si="226"/>
        <v>93.496745730658404</v>
      </c>
      <c r="EA78" s="39">
        <f t="shared" si="227"/>
        <v>89.291864576796485</v>
      </c>
      <c r="EB78" s="39">
        <f t="shared" si="228"/>
        <v>85.062470097042237</v>
      </c>
      <c r="EC78" s="39">
        <f t="shared" si="229"/>
        <v>80.811546527920868</v>
      </c>
      <c r="ED78" s="39">
        <f t="shared" si="230"/>
        <v>76.542312300009741</v>
      </c>
      <c r="EE78" s="39">
        <f t="shared" si="231"/>
        <v>72.258184927307695</v>
      </c>
      <c r="EF78" s="39">
        <f t="shared" si="232"/>
        <v>67.962743782084104</v>
      </c>
      <c r="EG78" s="39">
        <f t="shared" si="233"/>
        <v>63.659691153546426</v>
      </c>
      <c r="EH78" s="37">
        <f t="shared" si="234"/>
        <v>59.352812004995762</v>
      </c>
    </row>
    <row r="79" spans="5:138" x14ac:dyDescent="0.25">
      <c r="E79" s="32"/>
      <c r="F79" s="41">
        <v>8.3333333333333343E-2</v>
      </c>
      <c r="G79" s="50">
        <f t="shared" si="139"/>
        <v>300</v>
      </c>
      <c r="H79" s="51">
        <f t="shared" si="235"/>
        <v>293.92374205441024</v>
      </c>
      <c r="I79" s="51">
        <f t="shared" si="236"/>
        <v>287.84100127477734</v>
      </c>
      <c r="J79" s="51">
        <f t="shared" si="237"/>
        <v>281.7453664760879</v>
      </c>
      <c r="K79" s="51">
        <f t="shared" si="238"/>
        <v>275.63056895907005</v>
      </c>
      <c r="L79" s="51">
        <f t="shared" si="239"/>
        <v>269.49055173237673</v>
      </c>
      <c r="M79" s="51">
        <f t="shared" si="240"/>
        <v>263.31953633808155</v>
      </c>
      <c r="N79" s="51">
        <f t="shared" si="241"/>
        <v>257.11208652799564</v>
      </c>
      <c r="O79" s="51">
        <f t="shared" si="242"/>
        <v>250.86316807712052</v>
      </c>
      <c r="P79" s="51">
        <f t="shared" si="243"/>
        <v>244.5682040678862</v>
      </c>
      <c r="Q79" s="51">
        <f t="shared" si="244"/>
        <v>238.22312503392703</v>
      </c>
      <c r="R79" s="51">
        <f t="shared" si="245"/>
        <v>231.82441341419863</v>
      </c>
      <c r="S79" s="51">
        <f t="shared" si="246"/>
        <v>225.36914183627397</v>
      </c>
      <c r="T79" s="51">
        <f t="shared" si="247"/>
        <v>218.85500482070546</v>
      </c>
      <c r="U79" s="51">
        <f t="shared" si="248"/>
        <v>212.28034357534156</v>
      </c>
      <c r="V79" s="51">
        <f t="shared" si="249"/>
        <v>205.64416362839944</v>
      </c>
      <c r="W79" s="51">
        <f t="shared" si="250"/>
        <v>198.94614513084758</v>
      </c>
      <c r="X79" s="51">
        <f t="shared" si="251"/>
        <v>192.186645741218</v>
      </c>
      <c r="Y79" s="51">
        <f t="shared" si="252"/>
        <v>185.36669608833876</v>
      </c>
      <c r="Z79" s="51">
        <f t="shared" si="253"/>
        <v>178.48798788871642</v>
      </c>
      <c r="AA79" s="51">
        <f t="shared" si="254"/>
        <v>171.55285487451187</v>
      </c>
      <c r="AB79" s="51">
        <f t="shared" si="255"/>
        <v>164.56424676444439</v>
      </c>
      <c r="AC79" s="51">
        <f t="shared" si="256"/>
        <v>157.52569658278946</v>
      </c>
      <c r="AD79" s="51">
        <f t="shared" si="257"/>
        <v>150.44128170026354</v>
      </c>
      <c r="AE79" s="51">
        <f t="shared" si="258"/>
        <v>143.31557903444863</v>
      </c>
      <c r="AF79" s="51">
        <f t="shared" si="259"/>
        <v>136.15361490601319</v>
      </c>
      <c r="AG79" s="51">
        <f t="shared" si="260"/>
        <v>128.96081009993105</v>
      </c>
      <c r="AH79" s="51">
        <f t="shared" si="261"/>
        <v>121.74292072784331</v>
      </c>
      <c r="AI79" s="51">
        <f t="shared" si="262"/>
        <v>114.50597552838144</v>
      </c>
      <c r="AJ79" s="51">
        <f t="shared" si="263"/>
        <v>107.25621027645062</v>
      </c>
      <c r="AK79" s="50">
        <f t="shared" si="141"/>
        <v>100</v>
      </c>
      <c r="AL79" s="21"/>
      <c r="AM79" s="41">
        <v>8.3333333333333343E-2</v>
      </c>
      <c r="AN79" s="37">
        <f t="shared" si="142"/>
        <v>-1076400000</v>
      </c>
      <c r="AO79" s="39">
        <f t="shared" si="143"/>
        <v>-1054598772.2716757</v>
      </c>
      <c r="AP79" s="39">
        <f t="shared" si="144"/>
        <v>-1032774279.7898784</v>
      </c>
      <c r="AQ79" s="39">
        <f t="shared" si="145"/>
        <v>-1010903514.9306413</v>
      </c>
      <c r="AR79" s="39">
        <f t="shared" si="146"/>
        <v>-988963981.41360605</v>
      </c>
      <c r="AS79" s="39">
        <f t="shared" si="147"/>
        <v>-966933942.72160614</v>
      </c>
      <c r="AT79" s="39">
        <f t="shared" si="148"/>
        <v>-944792661.91858542</v>
      </c>
      <c r="AU79" s="39">
        <f t="shared" si="149"/>
        <v>-922520630.16522694</v>
      </c>
      <c r="AV79" s="39">
        <f t="shared" si="150"/>
        <v>-900099781.37095833</v>
      </c>
      <c r="AW79" s="39">
        <f t="shared" si="151"/>
        <v>-877513690.59092057</v>
      </c>
      <c r="AX79" s="39">
        <f t="shared" si="152"/>
        <v>-854747753.97429633</v>
      </c>
      <c r="AY79" s="39">
        <f t="shared" si="153"/>
        <v>-831789348.29312384</v>
      </c>
      <c r="AZ79" s="39">
        <f t="shared" si="154"/>
        <v>-808627968.32493782</v>
      </c>
      <c r="BA79" s="39">
        <f t="shared" si="155"/>
        <v>-785255340.62477636</v>
      </c>
      <c r="BB79" s="39">
        <f t="shared" si="156"/>
        <v>-761665512.49848318</v>
      </c>
      <c r="BC79" s="39">
        <f t="shared" si="157"/>
        <v>-737854915.2760483</v>
      </c>
      <c r="BD79" s="39">
        <f t="shared" si="158"/>
        <v>-713822401.2771498</v>
      </c>
      <c r="BE79" s="39">
        <f t="shared" si="159"/>
        <v>-689569254.1573807</v>
      </c>
      <c r="BF79" s="39">
        <f t="shared" si="160"/>
        <v>-665099172.61925483</v>
      </c>
      <c r="BG79" s="39">
        <f t="shared" si="161"/>
        <v>-640418227.76362646</v>
      </c>
      <c r="BH79" s="39">
        <f t="shared" si="162"/>
        <v>-615534794.64141047</v>
      </c>
      <c r="BI79" s="39">
        <f t="shared" si="163"/>
        <v>-590459458.83961344</v>
      </c>
      <c r="BJ79" s="39">
        <f t="shared" si="164"/>
        <v>-565204899.19700956</v>
      </c>
      <c r="BK79" s="39">
        <f t="shared" si="165"/>
        <v>-539785747.99103451</v>
      </c>
      <c r="BL79" s="39">
        <f t="shared" si="166"/>
        <v>-514218430.16659039</v>
      </c>
      <c r="BM79" s="39">
        <f t="shared" si="167"/>
        <v>-488520983.38770646</v>
      </c>
      <c r="BN79" s="39">
        <f t="shared" si="168"/>
        <v>-462712860.88294458</v>
      </c>
      <c r="BO79" s="39">
        <f t="shared" si="169"/>
        <v>-436814719.22384477</v>
      </c>
      <c r="BP79" s="39">
        <f t="shared" si="170"/>
        <v>-410848193.3216126</v>
      </c>
      <c r="BQ79" s="39">
        <f t="shared" si="171"/>
        <v>-384835661.04986626</v>
      </c>
      <c r="BR79" s="37">
        <f t="shared" si="172"/>
        <v>-358800000</v>
      </c>
      <c r="BT79" s="34"/>
      <c r="BU79" s="41">
        <v>8.3333333333333343E-2</v>
      </c>
      <c r="BV79" s="37">
        <f t="shared" si="173"/>
        <v>0.40647187995004247</v>
      </c>
      <c r="BW79" s="39">
        <f t="shared" si="174"/>
        <v>0.40647187995004247</v>
      </c>
      <c r="BX79" s="39">
        <f t="shared" si="175"/>
        <v>0.40647187995004247</v>
      </c>
      <c r="BY79" s="39">
        <f t="shared" si="176"/>
        <v>0.40647187995004247</v>
      </c>
      <c r="BZ79" s="39">
        <f t="shared" si="177"/>
        <v>0.40647187995004247</v>
      </c>
      <c r="CA79" s="39">
        <f t="shared" si="178"/>
        <v>0.40647187995004247</v>
      </c>
      <c r="CB79" s="39">
        <f t="shared" si="179"/>
        <v>0.40647187995004247</v>
      </c>
      <c r="CC79" s="39">
        <f t="shared" si="180"/>
        <v>0.40647187995004247</v>
      </c>
      <c r="CD79" s="39">
        <f t="shared" si="181"/>
        <v>0.40647187995004247</v>
      </c>
      <c r="CE79" s="39">
        <f t="shared" si="182"/>
        <v>0.40647187995004247</v>
      </c>
      <c r="CF79" s="39">
        <f t="shared" si="183"/>
        <v>0.40647187995004247</v>
      </c>
      <c r="CG79" s="39">
        <f t="shared" si="184"/>
        <v>0.40647187995004247</v>
      </c>
      <c r="CH79" s="39">
        <f t="shared" si="185"/>
        <v>0.40647187995004247</v>
      </c>
      <c r="CI79" s="39">
        <f t="shared" si="186"/>
        <v>0.40647187995004247</v>
      </c>
      <c r="CJ79" s="39">
        <f t="shared" si="187"/>
        <v>0.40647187995004247</v>
      </c>
      <c r="CK79" s="39">
        <f t="shared" si="188"/>
        <v>0.40647187995004247</v>
      </c>
      <c r="CL79" s="39">
        <f t="shared" si="189"/>
        <v>0.40647187995004247</v>
      </c>
      <c r="CM79" s="39">
        <f t="shared" si="190"/>
        <v>0.40647187995004247</v>
      </c>
      <c r="CN79" s="39">
        <f t="shared" si="191"/>
        <v>0.40647187995004247</v>
      </c>
      <c r="CO79" s="39">
        <f t="shared" si="192"/>
        <v>0.40647187995004247</v>
      </c>
      <c r="CP79" s="39">
        <f t="shared" si="193"/>
        <v>0.40647187995004247</v>
      </c>
      <c r="CQ79" s="39">
        <f t="shared" si="194"/>
        <v>0.40647187995004247</v>
      </c>
      <c r="CR79" s="39">
        <f t="shared" si="195"/>
        <v>0.40647187995004247</v>
      </c>
      <c r="CS79" s="39">
        <f t="shared" si="196"/>
        <v>0.40647187995004247</v>
      </c>
      <c r="CT79" s="39">
        <f t="shared" si="197"/>
        <v>0.40647187995004247</v>
      </c>
      <c r="CU79" s="39">
        <f t="shared" si="198"/>
        <v>0.40647187995004247</v>
      </c>
      <c r="CV79" s="39">
        <f t="shared" si="199"/>
        <v>0.40647187995004247</v>
      </c>
      <c r="CW79" s="39">
        <f t="shared" si="200"/>
        <v>0.40647187995004247</v>
      </c>
      <c r="CX79" s="39">
        <f t="shared" si="201"/>
        <v>0.40647187995004247</v>
      </c>
      <c r="CY79" s="39">
        <f t="shared" si="202"/>
        <v>0.40647187995004247</v>
      </c>
      <c r="CZ79" s="37">
        <f t="shared" si="203"/>
        <v>0.40647187995004247</v>
      </c>
      <c r="DB79" s="34"/>
      <c r="DC79" s="41">
        <v>8.3333333333333343E-2</v>
      </c>
      <c r="DD79" s="37">
        <f t="shared" si="204"/>
        <v>178.05843601498725</v>
      </c>
      <c r="DE79" s="39">
        <f t="shared" si="205"/>
        <v>174.45183955155045</v>
      </c>
      <c r="DF79" s="39">
        <f t="shared" si="206"/>
        <v>170.84139721930762</v>
      </c>
      <c r="DG79" s="39">
        <f t="shared" si="207"/>
        <v>167.22330565237363</v>
      </c>
      <c r="DH79" s="39">
        <f t="shared" si="208"/>
        <v>163.59384600892014</v>
      </c>
      <c r="DI79" s="39">
        <f t="shared" si="209"/>
        <v>159.94942503473237</v>
      </c>
      <c r="DJ79" s="39">
        <f t="shared" si="210"/>
        <v>156.28661470527717</v>
      </c>
      <c r="DK79" s="39">
        <f t="shared" si="211"/>
        <v>152.60218999995888</v>
      </c>
      <c r="DL79" s="39">
        <f t="shared" si="212"/>
        <v>148.89316438524119</v>
      </c>
      <c r="DM79" s="39">
        <f t="shared" si="213"/>
        <v>145.15682261137223</v>
      </c>
      <c r="DN79" s="39">
        <f t="shared" si="214"/>
        <v>141.39075046011587</v>
      </c>
      <c r="DO79" s="39">
        <f t="shared" si="215"/>
        <v>137.59286111767818</v>
      </c>
      <c r="DP79" s="39">
        <f t="shared" si="216"/>
        <v>133.7614178873541</v>
      </c>
      <c r="DQ79" s="39">
        <f t="shared" si="217"/>
        <v>129.89505299973118</v>
      </c>
      <c r="DR79" s="39">
        <f t="shared" si="218"/>
        <v>125.992782323947</v>
      </c>
      <c r="DS79" s="39">
        <f t="shared" si="219"/>
        <v>122.05401583088617</v>
      </c>
      <c r="DT79" s="39">
        <f t="shared" si="220"/>
        <v>118.07856370768742</v>
      </c>
      <c r="DU79" s="39">
        <f t="shared" si="221"/>
        <v>114.06663807190404</v>
      </c>
      <c r="DV79" s="39">
        <f t="shared" si="222"/>
        <v>110.01885028252219</v>
      </c>
      <c r="DW79" s="39">
        <f t="shared" si="223"/>
        <v>105.93620389323694</v>
      </c>
      <c r="DX79" s="39">
        <f t="shared" si="224"/>
        <v>101.82008334038456</v>
      </c>
      <c r="DY79" s="39">
        <f t="shared" si="225"/>
        <v>97.672238503260772</v>
      </c>
      <c r="DZ79" s="39">
        <f t="shared" si="226"/>
        <v>93.494765317774409</v>
      </c>
      <c r="EA79" s="39">
        <f t="shared" si="227"/>
        <v>89.290082665119485</v>
      </c>
      <c r="EB79" s="39">
        <f t="shared" si="228"/>
        <v>85.06090579505495</v>
      </c>
      <c r="EC79" s="39">
        <f t="shared" si="229"/>
        <v>80.810216578171421</v>
      </c>
      <c r="ED79" s="39">
        <f t="shared" si="230"/>
        <v>76.541230912959179</v>
      </c>
      <c r="EE79" s="39">
        <f t="shared" si="231"/>
        <v>72.257363641364762</v>
      </c>
      <c r="EF79" s="39">
        <f t="shared" si="232"/>
        <v>67.962191350677756</v>
      </c>
      <c r="EG79" s="39">
        <f t="shared" si="233"/>
        <v>63.659413459887034</v>
      </c>
      <c r="EH79" s="37">
        <f t="shared" si="234"/>
        <v>59.352812004995762</v>
      </c>
    </row>
    <row r="80" spans="5:138" x14ac:dyDescent="0.25">
      <c r="E80" s="32"/>
      <c r="F80" s="41">
        <v>0.08</v>
      </c>
      <c r="G80" s="50">
        <f t="shared" si="139"/>
        <v>300</v>
      </c>
      <c r="H80" s="51">
        <f t="shared" si="235"/>
        <v>293.92323922848396</v>
      </c>
      <c r="I80" s="51">
        <f t="shared" si="236"/>
        <v>287.8400012865099</v>
      </c>
      <c r="J80" s="51">
        <f t="shared" si="237"/>
        <v>281.74388058382351</v>
      </c>
      <c r="K80" s="51">
        <f t="shared" si="238"/>
        <v>275.62861387931264</v>
      </c>
      <c r="L80" s="51">
        <f t="shared" si="239"/>
        <v>269.48814943749659</v>
      </c>
      <c r="M80" s="51">
        <f t="shared" si="240"/>
        <v>263.31671379138618</v>
      </c>
      <c r="N80" s="51">
        <f t="shared" si="241"/>
        <v>257.10887536013189</v>
      </c>
      <c r="O80" s="51">
        <f t="shared" si="242"/>
        <v>250.85960420859158</v>
      </c>
      <c r="P80" s="51">
        <f t="shared" si="243"/>
        <v>244.56432728317719</v>
      </c>
      <c r="Q80" s="51">
        <f t="shared" si="244"/>
        <v>238.21897851332363</v>
      </c>
      <c r="R80" s="51">
        <f t="shared" si="245"/>
        <v>231.82004322984324</v>
      </c>
      <c r="S80" s="51">
        <f t="shared" si="246"/>
        <v>225.36459641933169</v>
      </c>
      <c r="T80" s="51">
        <f t="shared" si="247"/>
        <v>218.85033440670304</v>
      </c>
      <c r="U80" s="51">
        <f t="shared" si="248"/>
        <v>212.27559963480607</v>
      </c>
      <c r="V80" s="51">
        <f t="shared" si="249"/>
        <v>205.63939828985875</v>
      </c>
      <c r="W80" s="51">
        <f t="shared" si="250"/>
        <v>198.94141060308129</v>
      </c>
      <c r="X80" s="51">
        <f t="shared" si="251"/>
        <v>192.18199374137089</v>
      </c>
      <c r="Y80" s="51">
        <f t="shared" si="252"/>
        <v>185.36217728215121</v>
      </c>
      <c r="Z80" s="51">
        <f t="shared" si="253"/>
        <v>178.48365134869783</v>
      </c>
      <c r="AA80" s="51">
        <f t="shared" si="254"/>
        <v>171.54874756140867</v>
      </c>
      <c r="AB80" s="51">
        <f t="shared" si="255"/>
        <v>164.56041303684339</v>
      </c>
      <c r="AC80" s="51">
        <f t="shared" si="256"/>
        <v>157.52217773917428</v>
      </c>
      <c r="AD80" s="51">
        <f t="shared" si="257"/>
        <v>150.43811555731457</v>
      </c>
      <c r="AE80" s="51">
        <f t="shared" si="258"/>
        <v>143.31279954486416</v>
      </c>
      <c r="AF80" s="51">
        <f t="shared" si="259"/>
        <v>136.15125181863752</v>
      </c>
      <c r="AG80" s="51">
        <f t="shared" si="260"/>
        <v>128.95888866451537</v>
      </c>
      <c r="AH80" s="51">
        <f t="shared" si="261"/>
        <v>121.74146144633835</v>
      </c>
      <c r="AI80" s="51">
        <f t="shared" si="262"/>
        <v>114.50499395427295</v>
      </c>
      <c r="AJ80" s="51">
        <f t="shared" si="263"/>
        <v>107.25571686329555</v>
      </c>
      <c r="AK80" s="50">
        <f t="shared" si="141"/>
        <v>100</v>
      </c>
      <c r="AL80" s="21"/>
      <c r="AM80" s="41">
        <v>0.08</v>
      </c>
      <c r="AN80" s="37">
        <f t="shared" si="142"/>
        <v>-1076400000</v>
      </c>
      <c r="AO80" s="39">
        <f t="shared" si="143"/>
        <v>-1054596943.3673195</v>
      </c>
      <c r="AP80" s="39">
        <f t="shared" si="144"/>
        <v>-1032770642.5812787</v>
      </c>
      <c r="AQ80" s="39">
        <f t="shared" si="145"/>
        <v>-1010898110.3676739</v>
      </c>
      <c r="AR80" s="39">
        <f t="shared" si="146"/>
        <v>-988956870.29903889</v>
      </c>
      <c r="AS80" s="39">
        <f t="shared" si="147"/>
        <v>-966925204.97527099</v>
      </c>
      <c r="AT80" s="39">
        <f t="shared" si="148"/>
        <v>-944782395.61372077</v>
      </c>
      <c r="AU80" s="39">
        <f t="shared" si="149"/>
        <v>-922508950.3514185</v>
      </c>
      <c r="AV80" s="39">
        <f t="shared" si="150"/>
        <v>-900086818.70108223</v>
      </c>
      <c r="AW80" s="39">
        <f t="shared" si="151"/>
        <v>-877499589.7720716</v>
      </c>
      <c r="AX80" s="39">
        <f t="shared" si="152"/>
        <v>-854732672.06483757</v>
      </c>
      <c r="AY80" s="39">
        <f t="shared" si="153"/>
        <v>-831773452.86966145</v>
      </c>
      <c r="AZ80" s="39">
        <f t="shared" si="154"/>
        <v>-808611435.54421973</v>
      </c>
      <c r="BA80" s="39">
        <f t="shared" si="155"/>
        <v>-785238353.20621192</v>
      </c>
      <c r="BB80" s="39">
        <f t="shared" si="156"/>
        <v>-761648257.6532023</v>
      </c>
      <c r="BC80" s="39">
        <f t="shared" si="157"/>
        <v>-737837582.60819113</v>
      </c>
      <c r="BD80" s="39">
        <f t="shared" si="158"/>
        <v>-713805180.68244278</v>
      </c>
      <c r="BE80" s="39">
        <f t="shared" si="159"/>
        <v>-689552333.74304962</v>
      </c>
      <c r="BF80" s="39">
        <f t="shared" si="160"/>
        <v>-665082736.66802394</v>
      </c>
      <c r="BG80" s="39">
        <f t="shared" si="161"/>
        <v>-640402454.7629931</v>
      </c>
      <c r="BH80" s="39">
        <f t="shared" si="162"/>
        <v>-615519855.39765894</v>
      </c>
      <c r="BI80" s="39">
        <f t="shared" si="163"/>
        <v>-590445514.69417477</v>
      </c>
      <c r="BJ80" s="39">
        <f t="shared" si="164"/>
        <v>-565192100.3608675</v>
      </c>
      <c r="BK80" s="39">
        <f t="shared" si="165"/>
        <v>-539774232.01096404</v>
      </c>
      <c r="BL80" s="39">
        <f t="shared" si="166"/>
        <v>-514208320.53514647</v>
      </c>
      <c r="BM80" s="39">
        <f t="shared" si="167"/>
        <v>-488512388.30709392</v>
      </c>
      <c r="BN80" s="39">
        <f t="shared" si="168"/>
        <v>-462705872.19122428</v>
      </c>
      <c r="BO80" s="39">
        <f t="shared" si="169"/>
        <v>-436809411.4903816</v>
      </c>
      <c r="BP80" s="39">
        <f t="shared" si="170"/>
        <v>-410844623.11725932</v>
      </c>
      <c r="BQ80" s="39">
        <f t="shared" si="171"/>
        <v>-384833866.39609087</v>
      </c>
      <c r="BR80" s="37">
        <f t="shared" si="172"/>
        <v>-358800000</v>
      </c>
      <c r="BT80" s="34"/>
      <c r="BU80" s="41">
        <v>0.08</v>
      </c>
      <c r="BV80" s="37">
        <f t="shared" si="173"/>
        <v>0.40647187995004247</v>
      </c>
      <c r="BW80" s="39">
        <f t="shared" si="174"/>
        <v>0.40647187995004247</v>
      </c>
      <c r="BX80" s="39">
        <f t="shared" si="175"/>
        <v>0.40647187995004247</v>
      </c>
      <c r="BY80" s="39">
        <f t="shared" si="176"/>
        <v>0.40647187995004247</v>
      </c>
      <c r="BZ80" s="39">
        <f t="shared" si="177"/>
        <v>0.40647187995004247</v>
      </c>
      <c r="CA80" s="39">
        <f t="shared" si="178"/>
        <v>0.40647187995004247</v>
      </c>
      <c r="CB80" s="39">
        <f t="shared" si="179"/>
        <v>0.40647187995004247</v>
      </c>
      <c r="CC80" s="39">
        <f t="shared" si="180"/>
        <v>0.40647187995004247</v>
      </c>
      <c r="CD80" s="39">
        <f t="shared" si="181"/>
        <v>0.40647187995004247</v>
      </c>
      <c r="CE80" s="39">
        <f t="shared" si="182"/>
        <v>0.40647187995004247</v>
      </c>
      <c r="CF80" s="39">
        <f t="shared" si="183"/>
        <v>0.40647187995004247</v>
      </c>
      <c r="CG80" s="39">
        <f t="shared" si="184"/>
        <v>0.40647187995004247</v>
      </c>
      <c r="CH80" s="39">
        <f t="shared" si="185"/>
        <v>0.40647187995004247</v>
      </c>
      <c r="CI80" s="39">
        <f t="shared" si="186"/>
        <v>0.40647187995004247</v>
      </c>
      <c r="CJ80" s="39">
        <f t="shared" si="187"/>
        <v>0.40647187995004247</v>
      </c>
      <c r="CK80" s="39">
        <f t="shared" si="188"/>
        <v>0.40647187995004247</v>
      </c>
      <c r="CL80" s="39">
        <f t="shared" si="189"/>
        <v>0.40647187995004247</v>
      </c>
      <c r="CM80" s="39">
        <f t="shared" si="190"/>
        <v>0.40647187995004247</v>
      </c>
      <c r="CN80" s="39">
        <f t="shared" si="191"/>
        <v>0.40647187995004247</v>
      </c>
      <c r="CO80" s="39">
        <f t="shared" si="192"/>
        <v>0.40647187995004247</v>
      </c>
      <c r="CP80" s="39">
        <f t="shared" si="193"/>
        <v>0.40647187995004247</v>
      </c>
      <c r="CQ80" s="39">
        <f t="shared" si="194"/>
        <v>0.40647187995004247</v>
      </c>
      <c r="CR80" s="39">
        <f t="shared" si="195"/>
        <v>0.40647187995004247</v>
      </c>
      <c r="CS80" s="39">
        <f t="shared" si="196"/>
        <v>0.40647187995004247</v>
      </c>
      <c r="CT80" s="39">
        <f t="shared" si="197"/>
        <v>0.40647187995004247</v>
      </c>
      <c r="CU80" s="39">
        <f t="shared" si="198"/>
        <v>0.40647187995004247</v>
      </c>
      <c r="CV80" s="39">
        <f t="shared" si="199"/>
        <v>0.40647187995004247</v>
      </c>
      <c r="CW80" s="39">
        <f t="shared" si="200"/>
        <v>0.40647187995004247</v>
      </c>
      <c r="CX80" s="39">
        <f t="shared" si="201"/>
        <v>0.40647187995004247</v>
      </c>
      <c r="CY80" s="39">
        <f t="shared" si="202"/>
        <v>0.40647187995004247</v>
      </c>
      <c r="CZ80" s="37">
        <f t="shared" si="203"/>
        <v>0.40647187995004247</v>
      </c>
      <c r="DB80" s="34"/>
      <c r="DC80" s="41">
        <v>0.08</v>
      </c>
      <c r="DD80" s="37">
        <f t="shared" si="204"/>
        <v>178.05843601498725</v>
      </c>
      <c r="DE80" s="39">
        <f t="shared" si="205"/>
        <v>174.45150323367648</v>
      </c>
      <c r="DF80" s="39">
        <f t="shared" si="206"/>
        <v>170.84072837164859</v>
      </c>
      <c r="DG80" s="39">
        <f t="shared" si="207"/>
        <v>167.22231180507441</v>
      </c>
      <c r="DH80" s="39">
        <f t="shared" si="208"/>
        <v>163.59253834281964</v>
      </c>
      <c r="DI80" s="39">
        <f t="shared" si="209"/>
        <v>159.94781824606324</v>
      </c>
      <c r="DJ80" s="39">
        <f t="shared" si="210"/>
        <v>156.28472682847266</v>
      </c>
      <c r="DK80" s="39">
        <f t="shared" si="211"/>
        <v>152.6000421912195</v>
      </c>
      <c r="DL80" s="39">
        <f t="shared" si="212"/>
        <v>148.89078067006093</v>
      </c>
      <c r="DM80" s="39">
        <f t="shared" si="213"/>
        <v>145.15422959969786</v>
      </c>
      <c r="DN80" s="39">
        <f t="shared" si="214"/>
        <v>141.38797703320927</v>
      </c>
      <c r="DO80" s="39">
        <f t="shared" si="215"/>
        <v>137.58993809105809</v>
      </c>
      <c r="DP80" s="39">
        <f t="shared" si="216"/>
        <v>133.75837765441364</v>
      </c>
      <c r="DQ80" s="39">
        <f t="shared" si="217"/>
        <v>129.89192916075527</v>
      </c>
      <c r="DR80" s="39">
        <f t="shared" si="218"/>
        <v>125.98960930529607</v>
      </c>
      <c r="DS80" s="39">
        <f t="shared" si="219"/>
        <v>122.05082849906908</v>
      </c>
      <c r="DT80" s="39">
        <f t="shared" si="220"/>
        <v>118.07539698293168</v>
      </c>
      <c r="DU80" s="39">
        <f t="shared" si="221"/>
        <v>114.0635265456452</v>
      </c>
      <c r="DV80" s="39">
        <f t="shared" si="222"/>
        <v>110.01582784299596</v>
      </c>
      <c r="DW80" s="39">
        <f t="shared" si="223"/>
        <v>105.93330336307088</v>
      </c>
      <c r="DX80" s="39">
        <f t="shared" si="224"/>
        <v>101.81733612976902</v>
      </c>
      <c r="DY80" s="39">
        <f t="shared" si="225"/>
        <v>97.669674281936977</v>
      </c>
      <c r="DZ80" s="39">
        <f t="shared" si="226"/>
        <v>93.492411708727872</v>
      </c>
      <c r="EA80" s="39">
        <f t="shared" si="227"/>
        <v>89.287964962514536</v>
      </c>
      <c r="EB80" s="39">
        <f t="shared" si="228"/>
        <v>85.059046708602921</v>
      </c>
      <c r="EC80" s="39">
        <f t="shared" si="229"/>
        <v>80.808636005796203</v>
      </c>
      <c r="ED80" s="39">
        <f t="shared" si="230"/>
        <v>76.539945743315982</v>
      </c>
      <c r="EE80" s="39">
        <f t="shared" si="231"/>
        <v>72.256387587482891</v>
      </c>
      <c r="EF80" s="39">
        <f t="shared" si="232"/>
        <v>67.96153481573819</v>
      </c>
      <c r="EG80" s="39">
        <f t="shared" si="233"/>
        <v>63.659083435909601</v>
      </c>
      <c r="EH80" s="37">
        <f t="shared" si="234"/>
        <v>59.352812004995762</v>
      </c>
    </row>
    <row r="81" spans="5:138" x14ac:dyDescent="0.25">
      <c r="E81" s="32"/>
      <c r="F81" s="41">
        <v>7.6666666666666675E-2</v>
      </c>
      <c r="G81" s="50">
        <f t="shared" si="139"/>
        <v>300</v>
      </c>
      <c r="H81" s="51">
        <f t="shared" si="235"/>
        <v>293.92264920074149</v>
      </c>
      <c r="I81" s="51">
        <f t="shared" si="236"/>
        <v>287.83882787667687</v>
      </c>
      <c r="J81" s="51">
        <f t="shared" si="237"/>
        <v>281.74213700244917</v>
      </c>
      <c r="K81" s="51">
        <f t="shared" si="238"/>
        <v>275.62631974156852</v>
      </c>
      <c r="L81" s="51">
        <f t="shared" si="239"/>
        <v>269.48533052582093</v>
      </c>
      <c r="M81" s="51">
        <f t="shared" si="240"/>
        <v>263.31340174463594</v>
      </c>
      <c r="N81" s="51">
        <f t="shared" si="241"/>
        <v>257.10510729389483</v>
      </c>
      <c r="O81" s="51">
        <f t="shared" si="242"/>
        <v>250.85542227227143</v>
      </c>
      <c r="P81" s="51">
        <f t="shared" si="243"/>
        <v>244.55977816029622</v>
      </c>
      <c r="Q81" s="51">
        <f t="shared" si="244"/>
        <v>238.21411287218095</v>
      </c>
      <c r="R81" s="51">
        <f t="shared" si="245"/>
        <v>231.81491513220672</v>
      </c>
      <c r="S81" s="51">
        <f t="shared" si="246"/>
        <v>225.35926269522568</v>
      </c>
      <c r="T81" s="51">
        <f t="shared" si="247"/>
        <v>218.84485400357943</v>
      </c>
      <c r="U81" s="51">
        <f t="shared" si="248"/>
        <v>212.27003294945939</v>
      </c>
      <c r="V81" s="51">
        <f t="shared" si="249"/>
        <v>205.63380649137167</v>
      </c>
      <c r="W81" s="51">
        <f t="shared" si="250"/>
        <v>198.9358549548833</v>
      </c>
      <c r="X81" s="51">
        <f t="shared" si="251"/>
        <v>192.17653493016849</v>
      </c>
      <c r="Y81" s="51">
        <f t="shared" si="252"/>
        <v>185.35687476106858</v>
      </c>
      <c r="Z81" s="51">
        <f t="shared" si="253"/>
        <v>178.47856270146542</v>
      </c>
      <c r="AA81" s="51">
        <f t="shared" si="254"/>
        <v>171.54392789387919</v>
      </c>
      <c r="AB81" s="51">
        <f t="shared" si="255"/>
        <v>164.55591440151755</v>
      </c>
      <c r="AC81" s="51">
        <f t="shared" si="256"/>
        <v>157.51804859780299</v>
      </c>
      <c r="AD81" s="51">
        <f t="shared" si="257"/>
        <v>150.4344002860276</v>
      </c>
      <c r="AE81" s="51">
        <f t="shared" si="258"/>
        <v>143.30953798567239</v>
      </c>
      <c r="AF81" s="51">
        <f t="shared" si="259"/>
        <v>136.14847888058006</v>
      </c>
      <c r="AG81" s="51">
        <f t="shared" si="260"/>
        <v>128.95663397718107</v>
      </c>
      <c r="AH81" s="51">
        <f t="shared" si="261"/>
        <v>121.73974906799288</v>
      </c>
      <c r="AI81" s="51">
        <f t="shared" si="262"/>
        <v>114.50384213636544</v>
      </c>
      <c r="AJ81" s="51">
        <f t="shared" si="263"/>
        <v>107.25513787270413</v>
      </c>
      <c r="AK81" s="50">
        <f t="shared" si="141"/>
        <v>100</v>
      </c>
      <c r="AL81" s="21"/>
      <c r="AM81" s="41">
        <v>7.6666666666666675E-2</v>
      </c>
      <c r="AN81" s="37">
        <f t="shared" si="142"/>
        <v>-1076400000</v>
      </c>
      <c r="AO81" s="39">
        <f t="shared" si="143"/>
        <v>-1054594797.3178154</v>
      </c>
      <c r="AP81" s="39">
        <f t="shared" si="144"/>
        <v>-1032766374.6540927</v>
      </c>
      <c r="AQ81" s="39">
        <f t="shared" si="145"/>
        <v>-1010891768.6127157</v>
      </c>
      <c r="AR81" s="39">
        <f t="shared" si="146"/>
        <v>-988948526.06132698</v>
      </c>
      <c r="AS81" s="39">
        <f t="shared" si="147"/>
        <v>-966914952.03158379</v>
      </c>
      <c r="AT81" s="39">
        <f t="shared" si="148"/>
        <v>-944770349.04193068</v>
      </c>
      <c r="AU81" s="39">
        <f t="shared" si="149"/>
        <v>-922495245.14943516</v>
      </c>
      <c r="AV81" s="39">
        <f t="shared" si="150"/>
        <v>-900071608.17581904</v>
      </c>
      <c r="AW81" s="39">
        <f t="shared" si="151"/>
        <v>-877483043.72188342</v>
      </c>
      <c r="AX81" s="39">
        <f t="shared" si="152"/>
        <v>-854714974.78139019</v>
      </c>
      <c r="AY81" s="39">
        <f t="shared" si="153"/>
        <v>-831754800.98716617</v>
      </c>
      <c r="AZ81" s="39">
        <f t="shared" si="154"/>
        <v>-808592035.76535738</v>
      </c>
      <c r="BA81" s="39">
        <f t="shared" si="155"/>
        <v>-785218419.93489361</v>
      </c>
      <c r="BB81" s="39">
        <f t="shared" si="156"/>
        <v>-761628010.56457675</v>
      </c>
      <c r="BC81" s="39">
        <f t="shared" si="157"/>
        <v>-737817244.18604326</v>
      </c>
      <c r="BD81" s="39">
        <f t="shared" si="158"/>
        <v>-713784973.75337791</v>
      </c>
      <c r="BE81" s="39">
        <f t="shared" si="159"/>
        <v>-689532479.03568769</v>
      </c>
      <c r="BF81" s="39">
        <f t="shared" si="160"/>
        <v>-665063450.42389286</v>
      </c>
      <c r="BG81" s="39">
        <f t="shared" si="161"/>
        <v>-640383946.42399287</v>
      </c>
      <c r="BH81" s="39">
        <f t="shared" si="162"/>
        <v>-615502325.39293194</v>
      </c>
      <c r="BI81" s="39">
        <f t="shared" si="163"/>
        <v>-590429152.34705091</v>
      </c>
      <c r="BJ81" s="39">
        <f t="shared" si="164"/>
        <v>-565177081.93430769</v>
      </c>
      <c r="BK81" s="39">
        <f t="shared" si="165"/>
        <v>-539760718.90768826</v>
      </c>
      <c r="BL81" s="39">
        <f t="shared" si="166"/>
        <v>-514196457.66643292</v>
      </c>
      <c r="BM81" s="39">
        <f t="shared" si="167"/>
        <v>-488502302.64214545</v>
      </c>
      <c r="BN81" s="39">
        <f t="shared" si="168"/>
        <v>-462697671.49702847</v>
      </c>
      <c r="BO81" s="39">
        <f t="shared" si="169"/>
        <v>-436803183.27017498</v>
      </c>
      <c r="BP81" s="39">
        <f t="shared" si="170"/>
        <v>-410840433.75404561</v>
      </c>
      <c r="BQ81" s="39">
        <f t="shared" si="171"/>
        <v>-384831760.50615609</v>
      </c>
      <c r="BR81" s="37">
        <f t="shared" si="172"/>
        <v>-358800000</v>
      </c>
      <c r="BT81" s="34"/>
      <c r="BU81" s="41">
        <v>7.6666666666666675E-2</v>
      </c>
      <c r="BV81" s="37">
        <f t="shared" si="173"/>
        <v>0.40647187995004247</v>
      </c>
      <c r="BW81" s="39">
        <f t="shared" si="174"/>
        <v>0.40647187995004247</v>
      </c>
      <c r="BX81" s="39">
        <f t="shared" si="175"/>
        <v>0.40647187995004247</v>
      </c>
      <c r="BY81" s="39">
        <f t="shared" si="176"/>
        <v>0.40647187995004247</v>
      </c>
      <c r="BZ81" s="39">
        <f t="shared" si="177"/>
        <v>0.40647187995004247</v>
      </c>
      <c r="CA81" s="39">
        <f t="shared" si="178"/>
        <v>0.40647187995004247</v>
      </c>
      <c r="CB81" s="39">
        <f t="shared" si="179"/>
        <v>0.40647187995004247</v>
      </c>
      <c r="CC81" s="39">
        <f t="shared" si="180"/>
        <v>0.40647187995004247</v>
      </c>
      <c r="CD81" s="39">
        <f t="shared" si="181"/>
        <v>0.40647187995004247</v>
      </c>
      <c r="CE81" s="39">
        <f t="shared" si="182"/>
        <v>0.40647187995004247</v>
      </c>
      <c r="CF81" s="39">
        <f t="shared" si="183"/>
        <v>0.40647187995004247</v>
      </c>
      <c r="CG81" s="39">
        <f t="shared" si="184"/>
        <v>0.40647187995004247</v>
      </c>
      <c r="CH81" s="39">
        <f t="shared" si="185"/>
        <v>0.40647187995004247</v>
      </c>
      <c r="CI81" s="39">
        <f t="shared" si="186"/>
        <v>0.40647187995004247</v>
      </c>
      <c r="CJ81" s="39">
        <f t="shared" si="187"/>
        <v>0.40647187995004247</v>
      </c>
      <c r="CK81" s="39">
        <f t="shared" si="188"/>
        <v>0.40647187995004247</v>
      </c>
      <c r="CL81" s="39">
        <f t="shared" si="189"/>
        <v>0.40647187995004247</v>
      </c>
      <c r="CM81" s="39">
        <f t="shared" si="190"/>
        <v>0.40647187995004247</v>
      </c>
      <c r="CN81" s="39">
        <f t="shared" si="191"/>
        <v>0.40647187995004247</v>
      </c>
      <c r="CO81" s="39">
        <f t="shared" si="192"/>
        <v>0.40647187995004247</v>
      </c>
      <c r="CP81" s="39">
        <f t="shared" si="193"/>
        <v>0.40647187995004247</v>
      </c>
      <c r="CQ81" s="39">
        <f t="shared" si="194"/>
        <v>0.40647187995004247</v>
      </c>
      <c r="CR81" s="39">
        <f t="shared" si="195"/>
        <v>0.40647187995004247</v>
      </c>
      <c r="CS81" s="39">
        <f t="shared" si="196"/>
        <v>0.40647187995004247</v>
      </c>
      <c r="CT81" s="39">
        <f t="shared" si="197"/>
        <v>0.40647187995004247</v>
      </c>
      <c r="CU81" s="39">
        <f t="shared" si="198"/>
        <v>0.40647187995004247</v>
      </c>
      <c r="CV81" s="39">
        <f t="shared" si="199"/>
        <v>0.40647187995004247</v>
      </c>
      <c r="CW81" s="39">
        <f t="shared" si="200"/>
        <v>0.40647187995004247</v>
      </c>
      <c r="CX81" s="39">
        <f t="shared" si="201"/>
        <v>0.40647187995004247</v>
      </c>
      <c r="CY81" s="39">
        <f t="shared" si="202"/>
        <v>0.40647187995004247</v>
      </c>
      <c r="CZ81" s="37">
        <f t="shared" si="203"/>
        <v>0.40647187995004247</v>
      </c>
      <c r="DB81" s="34"/>
      <c r="DC81" s="41">
        <v>7.6666666666666675E-2</v>
      </c>
      <c r="DD81" s="37">
        <f t="shared" si="204"/>
        <v>178.05843601498725</v>
      </c>
      <c r="DE81" s="39">
        <f t="shared" si="205"/>
        <v>174.45111759053356</v>
      </c>
      <c r="DF81" s="39">
        <f t="shared" si="206"/>
        <v>170.83996142892656</v>
      </c>
      <c r="DG81" s="39">
        <f t="shared" si="207"/>
        <v>167.22117219712217</v>
      </c>
      <c r="DH81" s="39">
        <f t="shared" si="208"/>
        <v>163.59103889001992</v>
      </c>
      <c r="DI81" s="39">
        <f t="shared" si="209"/>
        <v>159.94597579970369</v>
      </c>
      <c r="DJ81" s="39">
        <f t="shared" si="210"/>
        <v>156.28256206758391</v>
      </c>
      <c r="DK81" s="39">
        <f t="shared" si="211"/>
        <v>152.59757937442089</v>
      </c>
      <c r="DL81" s="39">
        <f t="shared" si="212"/>
        <v>148.88804734608163</v>
      </c>
      <c r="DM81" s="39">
        <f t="shared" si="213"/>
        <v>145.1512562807857</v>
      </c>
      <c r="DN81" s="39">
        <f t="shared" si="214"/>
        <v>141.38479683609151</v>
      </c>
      <c r="DO81" s="39">
        <f t="shared" si="215"/>
        <v>137.58658635047223</v>
      </c>
      <c r="DP81" s="39">
        <f t="shared" si="216"/>
        <v>133.75489151447732</v>
      </c>
      <c r="DQ81" s="39">
        <f t="shared" si="217"/>
        <v>129.8883471495914</v>
      </c>
      <c r="DR81" s="39">
        <f t="shared" si="218"/>
        <v>125.98597089837722</v>
      </c>
      <c r="DS81" s="39">
        <f t="shared" si="219"/>
        <v>122.04717367669726</v>
      </c>
      <c r="DT81" s="39">
        <f t="shared" si="220"/>
        <v>118.07176578713553</v>
      </c>
      <c r="DU81" s="39">
        <f t="shared" si="221"/>
        <v>114.05995864156618</v>
      </c>
      <c r="DV81" s="39">
        <f t="shared" si="222"/>
        <v>110.01236208955952</v>
      </c>
      <c r="DW81" s="39">
        <f t="shared" si="223"/>
        <v>105.92997739741229</v>
      </c>
      <c r="DX81" s="39">
        <f t="shared" si="224"/>
        <v>101.81418596951814</v>
      </c>
      <c r="DY81" s="39">
        <f t="shared" si="225"/>
        <v>97.666733949076345</v>
      </c>
      <c r="DZ81" s="39">
        <f t="shared" si="226"/>
        <v>93.489712878336078</v>
      </c>
      <c r="EA81" s="39">
        <f t="shared" si="227"/>
        <v>89.285536639304198</v>
      </c>
      <c r="EB81" s="39">
        <f t="shared" si="228"/>
        <v>85.056914933767871</v>
      </c>
      <c r="EC81" s="39">
        <f t="shared" si="229"/>
        <v>80.806823596306828</v>
      </c>
      <c r="ED81" s="39">
        <f t="shared" si="230"/>
        <v>76.53847206544728</v>
      </c>
      <c r="EE81" s="39">
        <f t="shared" si="231"/>
        <v>72.255268366034116</v>
      </c>
      <c r="EF81" s="39">
        <f t="shared" si="232"/>
        <v>67.96078198010386</v>
      </c>
      <c r="EG81" s="39">
        <f t="shared" si="233"/>
        <v>63.658705003890908</v>
      </c>
      <c r="EH81" s="37">
        <f t="shared" si="234"/>
        <v>59.352812004995762</v>
      </c>
    </row>
    <row r="82" spans="5:138" x14ac:dyDescent="0.25">
      <c r="E82" s="32"/>
      <c r="F82" s="41">
        <v>7.3333333333333334E-2</v>
      </c>
      <c r="G82" s="50">
        <f t="shared" si="139"/>
        <v>300</v>
      </c>
      <c r="H82" s="51">
        <f t="shared" si="235"/>
        <v>293.92197898325145</v>
      </c>
      <c r="I82" s="51">
        <f t="shared" si="236"/>
        <v>287.83749499037617</v>
      </c>
      <c r="J82" s="51">
        <f t="shared" si="237"/>
        <v>281.74015645297624</v>
      </c>
      <c r="K82" s="51">
        <f t="shared" si="238"/>
        <v>275.6237138094815</v>
      </c>
      <c r="L82" s="51">
        <f t="shared" si="239"/>
        <v>269.48212849701031</v>
      </c>
      <c r="M82" s="51">
        <f t="shared" si="240"/>
        <v>263.30963955726315</v>
      </c>
      <c r="N82" s="51">
        <f t="shared" si="241"/>
        <v>257.10082710714073</v>
      </c>
      <c r="O82" s="51">
        <f t="shared" si="242"/>
        <v>250.8506719632679</v>
      </c>
      <c r="P82" s="51">
        <f t="shared" si="243"/>
        <v>244.55461075656001</v>
      </c>
      <c r="Q82" s="51">
        <f t="shared" si="244"/>
        <v>238.20858592765538</v>
      </c>
      <c r="R82" s="51">
        <f t="shared" si="245"/>
        <v>231.80909005563097</v>
      </c>
      <c r="S82" s="51">
        <f t="shared" si="246"/>
        <v>225.35320403998736</v>
      </c>
      <c r="T82" s="51">
        <f t="shared" si="247"/>
        <v>218.83862872846294</v>
      </c>
      <c r="U82" s="51">
        <f t="shared" si="248"/>
        <v>212.26370965978498</v>
      </c>
      <c r="V82" s="51">
        <f t="shared" si="249"/>
        <v>205.62745466993732</v>
      </c>
      <c r="W82" s="51">
        <f t="shared" si="250"/>
        <v>198.92954419188902</v>
      </c>
      <c r="X82" s="51">
        <f t="shared" si="251"/>
        <v>192.17033416093636</v>
      </c>
      <c r="Y82" s="51">
        <f t="shared" si="252"/>
        <v>185.35085151989438</v>
      </c>
      <c r="Z82" s="51">
        <f t="shared" si="253"/>
        <v>178.47278239936949</v>
      </c>
      <c r="AA82" s="51">
        <f t="shared" si="254"/>
        <v>171.53845312738991</v>
      </c>
      <c r="AB82" s="51">
        <f t="shared" si="255"/>
        <v>164.55080429894389</v>
      </c>
      <c r="AC82" s="51">
        <f t="shared" si="256"/>
        <v>157.51335820875278</v>
      </c>
      <c r="AD82" s="51">
        <f t="shared" si="257"/>
        <v>150.43018001922817</v>
      </c>
      <c r="AE82" s="51">
        <f t="shared" si="258"/>
        <v>143.30583309946604</v>
      </c>
      <c r="AF82" s="51">
        <f t="shared" si="259"/>
        <v>136.14532902981142</v>
      </c>
      <c r="AG82" s="51">
        <f t="shared" si="260"/>
        <v>128.95407281958035</v>
      </c>
      <c r="AH82" s="51">
        <f t="shared" si="261"/>
        <v>121.73780393259028</v>
      </c>
      <c r="AI82" s="51">
        <f t="shared" si="262"/>
        <v>114.50253375595392</v>
      </c>
      <c r="AJ82" s="51">
        <f t="shared" si="263"/>
        <v>107.25448018189682</v>
      </c>
      <c r="AK82" s="50">
        <f t="shared" si="141"/>
        <v>100</v>
      </c>
      <c r="AL82" s="21"/>
      <c r="AM82" s="41">
        <v>7.3333333333333334E-2</v>
      </c>
      <c r="AN82" s="37">
        <f t="shared" si="142"/>
        <v>-1076400000</v>
      </c>
      <c r="AO82" s="39">
        <f t="shared" si="143"/>
        <v>-1054592359.6411353</v>
      </c>
      <c r="AP82" s="39">
        <f t="shared" si="144"/>
        <v>-1032761526.7566165</v>
      </c>
      <c r="AQ82" s="39">
        <f t="shared" si="145"/>
        <v>-1010884565.0725969</v>
      </c>
      <c r="AR82" s="39">
        <f t="shared" si="146"/>
        <v>-988939047.91685808</v>
      </c>
      <c r="AS82" s="39">
        <f t="shared" si="147"/>
        <v>-966903305.80062795</v>
      </c>
      <c r="AT82" s="39">
        <f t="shared" si="148"/>
        <v>-944756665.43773687</v>
      </c>
      <c r="AU82" s="39">
        <f t="shared" si="149"/>
        <v>-922479677.51205635</v>
      </c>
      <c r="AV82" s="39">
        <f t="shared" si="150"/>
        <v>-900054330.64231658</v>
      </c>
      <c r="AW82" s="39">
        <f t="shared" si="151"/>
        <v>-877464249.16194153</v>
      </c>
      <c r="AX82" s="39">
        <f t="shared" si="152"/>
        <v>-854694872.52782512</v>
      </c>
      <c r="AY82" s="39">
        <f t="shared" si="153"/>
        <v>-831733614.39304757</v>
      </c>
      <c r="AZ82" s="39">
        <f t="shared" si="154"/>
        <v>-808569999.62104559</v>
      </c>
      <c r="BA82" s="39">
        <f t="shared" si="155"/>
        <v>-785195777.77923119</v>
      </c>
      <c r="BB82" s="39">
        <f t="shared" si="156"/>
        <v>-761605011.92476845</v>
      </c>
      <c r="BC82" s="39">
        <f t="shared" si="157"/>
        <v>-737794141.78046119</v>
      </c>
      <c r="BD82" s="39">
        <f t="shared" si="158"/>
        <v>-713762020.69068122</v>
      </c>
      <c r="BE82" s="39">
        <f t="shared" si="159"/>
        <v>-689509926.04231083</v>
      </c>
      <c r="BF82" s="39">
        <f t="shared" si="160"/>
        <v>-665041543.13022196</v>
      </c>
      <c r="BG82" s="39">
        <f t="shared" si="161"/>
        <v>-640362922.73748028</v>
      </c>
      <c r="BH82" s="39">
        <f t="shared" si="162"/>
        <v>-615482412.98409581</v>
      </c>
      <c r="BI82" s="39">
        <f t="shared" si="163"/>
        <v>-590410566.27183628</v>
      </c>
      <c r="BJ82" s="39">
        <f t="shared" si="164"/>
        <v>-565160022.41374898</v>
      </c>
      <c r="BK82" s="39">
        <f t="shared" si="165"/>
        <v>-539745369.2832582</v>
      </c>
      <c r="BL82" s="39">
        <f t="shared" si="166"/>
        <v>-514182982.54698056</v>
      </c>
      <c r="BM82" s="39">
        <f t="shared" si="167"/>
        <v>-488490846.25593913</v>
      </c>
      <c r="BN82" s="39">
        <f t="shared" si="168"/>
        <v>-462688356.26018906</v>
      </c>
      <c r="BO82" s="39">
        <f t="shared" si="169"/>
        <v>-436796108.58071947</v>
      </c>
      <c r="BP82" s="39">
        <f t="shared" si="170"/>
        <v>-410835675.01887268</v>
      </c>
      <c r="BQ82" s="39">
        <f t="shared" si="171"/>
        <v>-384829368.40659738</v>
      </c>
      <c r="BR82" s="37">
        <f t="shared" si="172"/>
        <v>-358800000</v>
      </c>
      <c r="BT82" s="34"/>
      <c r="BU82" s="41">
        <v>7.3333333333333334E-2</v>
      </c>
      <c r="BV82" s="37">
        <f t="shared" si="173"/>
        <v>0.40647187995004247</v>
      </c>
      <c r="BW82" s="39">
        <f t="shared" si="174"/>
        <v>0.40647187995004247</v>
      </c>
      <c r="BX82" s="39">
        <f t="shared" si="175"/>
        <v>0.40647187995004247</v>
      </c>
      <c r="BY82" s="39">
        <f t="shared" si="176"/>
        <v>0.40647187995004247</v>
      </c>
      <c r="BZ82" s="39">
        <f t="shared" si="177"/>
        <v>0.40647187995004247</v>
      </c>
      <c r="CA82" s="39">
        <f t="shared" si="178"/>
        <v>0.40647187995004247</v>
      </c>
      <c r="CB82" s="39">
        <f t="shared" si="179"/>
        <v>0.40647187995004247</v>
      </c>
      <c r="CC82" s="39">
        <f t="shared" si="180"/>
        <v>0.40647187995004247</v>
      </c>
      <c r="CD82" s="39">
        <f t="shared" si="181"/>
        <v>0.40647187995004247</v>
      </c>
      <c r="CE82" s="39">
        <f t="shared" si="182"/>
        <v>0.40647187995004247</v>
      </c>
      <c r="CF82" s="39">
        <f t="shared" si="183"/>
        <v>0.40647187995004247</v>
      </c>
      <c r="CG82" s="39">
        <f t="shared" si="184"/>
        <v>0.40647187995004247</v>
      </c>
      <c r="CH82" s="39">
        <f t="shared" si="185"/>
        <v>0.40647187995004247</v>
      </c>
      <c r="CI82" s="39">
        <f t="shared" si="186"/>
        <v>0.40647187995004247</v>
      </c>
      <c r="CJ82" s="39">
        <f t="shared" si="187"/>
        <v>0.40647187995004247</v>
      </c>
      <c r="CK82" s="39">
        <f t="shared" si="188"/>
        <v>0.40647187995004247</v>
      </c>
      <c r="CL82" s="39">
        <f t="shared" si="189"/>
        <v>0.40647187995004247</v>
      </c>
      <c r="CM82" s="39">
        <f t="shared" si="190"/>
        <v>0.40647187995004247</v>
      </c>
      <c r="CN82" s="39">
        <f t="shared" si="191"/>
        <v>0.40647187995004247</v>
      </c>
      <c r="CO82" s="39">
        <f t="shared" si="192"/>
        <v>0.40647187995004247</v>
      </c>
      <c r="CP82" s="39">
        <f t="shared" si="193"/>
        <v>0.40647187995004247</v>
      </c>
      <c r="CQ82" s="39">
        <f t="shared" si="194"/>
        <v>0.40647187995004247</v>
      </c>
      <c r="CR82" s="39">
        <f t="shared" si="195"/>
        <v>0.40647187995004247</v>
      </c>
      <c r="CS82" s="39">
        <f t="shared" si="196"/>
        <v>0.40647187995004247</v>
      </c>
      <c r="CT82" s="39">
        <f t="shared" si="197"/>
        <v>0.40647187995004247</v>
      </c>
      <c r="CU82" s="39">
        <f t="shared" si="198"/>
        <v>0.40647187995004247</v>
      </c>
      <c r="CV82" s="39">
        <f t="shared" si="199"/>
        <v>0.40647187995004247</v>
      </c>
      <c r="CW82" s="39">
        <f t="shared" si="200"/>
        <v>0.40647187995004247</v>
      </c>
      <c r="CX82" s="39">
        <f t="shared" si="201"/>
        <v>0.40647187995004247</v>
      </c>
      <c r="CY82" s="39">
        <f t="shared" si="202"/>
        <v>0.40647187995004247</v>
      </c>
      <c r="CZ82" s="37">
        <f t="shared" si="203"/>
        <v>0.40647187995004247</v>
      </c>
      <c r="DB82" s="34"/>
      <c r="DC82" s="41">
        <v>7.3333333333333334E-2</v>
      </c>
      <c r="DD82" s="37">
        <f t="shared" si="204"/>
        <v>178.05843601498725</v>
      </c>
      <c r="DE82" s="39">
        <f t="shared" si="205"/>
        <v>174.4506872027292</v>
      </c>
      <c r="DF82" s="39">
        <f t="shared" si="206"/>
        <v>170.83910550072665</v>
      </c>
      <c r="DG82" s="39">
        <f t="shared" si="207"/>
        <v>167.21990036444831</v>
      </c>
      <c r="DH82" s="39">
        <f t="shared" si="208"/>
        <v>163.58936546041463</v>
      </c>
      <c r="DI82" s="39">
        <f t="shared" si="209"/>
        <v>159.94391957922133</v>
      </c>
      <c r="DJ82" s="39">
        <f t="shared" si="210"/>
        <v>156.28014613408021</v>
      </c>
      <c r="DK82" s="39">
        <f t="shared" si="211"/>
        <v>152.59483080063393</v>
      </c>
      <c r="DL82" s="39">
        <f t="shared" si="212"/>
        <v>148.88499687659598</v>
      </c>
      <c r="DM82" s="39">
        <f>(DM83*$B$22-AW82)/($B$21-$B$22*CE83)</f>
        <v>145.14793796757905</v>
      </c>
      <c r="DN82" s="39">
        <f t="shared" si="214"/>
        <v>141.38124763786837</v>
      </c>
      <c r="DO82" s="39">
        <f t="shared" si="215"/>
        <v>137.58284570138335</v>
      </c>
      <c r="DP82" s="39">
        <f t="shared" si="216"/>
        <v>133.75100086810349</v>
      </c>
      <c r="DQ82" s="39">
        <f t="shared" si="217"/>
        <v>129.88434950423544</v>
      </c>
      <c r="DR82" s="39">
        <f t="shared" si="218"/>
        <v>125.98191030976078</v>
      </c>
      <c r="DS82" s="39">
        <f t="shared" si="219"/>
        <v>122.04309476410624</v>
      </c>
      <c r="DT82" s="39">
        <f t="shared" si="220"/>
        <v>118.06771323890862</v>
      </c>
      <c r="DU82" s="39">
        <f t="shared" si="221"/>
        <v>114.05597672558577</v>
      </c>
      <c r="DV82" s="39">
        <f t="shared" si="222"/>
        <v>110.00849417409826</v>
      </c>
      <c r="DW82" s="39">
        <f t="shared" si="223"/>
        <v>105.92626548732331</v>
      </c>
      <c r="DX82" s="39">
        <f t="shared" si="224"/>
        <v>101.8106702623503</v>
      </c>
      <c r="DY82" s="39">
        <f t="shared" si="225"/>
        <v>97.663452415260792</v>
      </c>
      <c r="DZ82" s="39">
        <f t="shared" si="226"/>
        <v>93.486700869141643</v>
      </c>
      <c r="EA82" s="39">
        <f t="shared" si="227"/>
        <v>89.282826525809341</v>
      </c>
      <c r="EB82" s="39">
        <f t="shared" si="228"/>
        <v>85.054535779657755</v>
      </c>
      <c r="EC82" s="39">
        <f t="shared" si="229"/>
        <v>80.804800866883397</v>
      </c>
      <c r="ED82" s="39">
        <f t="shared" si="230"/>
        <v>76.536827374846041</v>
      </c>
      <c r="EE82" s="39">
        <f t="shared" si="231"/>
        <v>72.254019264276792</v>
      </c>
      <c r="EF82" s="39">
        <f t="shared" si="232"/>
        <v>67.959941781282581</v>
      </c>
      <c r="EG82" s="39">
        <f t="shared" si="233"/>
        <v>63.65828265647778</v>
      </c>
      <c r="EH82" s="37">
        <f t="shared" si="234"/>
        <v>59.352812004995762</v>
      </c>
    </row>
    <row r="83" spans="5:138" x14ac:dyDescent="0.25">
      <c r="E83" s="32"/>
      <c r="F83" s="41">
        <v>7.0000000000000007E-2</v>
      </c>
      <c r="G83" s="50">
        <f t="shared" si="139"/>
        <v>300</v>
      </c>
      <c r="H83" s="51">
        <f t="shared" si="235"/>
        <v>293.92123653164805</v>
      </c>
      <c r="I83" s="51">
        <f t="shared" si="236"/>
        <v>287.83601844920906</v>
      </c>
      <c r="J83" s="51">
        <f t="shared" si="237"/>
        <v>281.73796244473078</v>
      </c>
      <c r="K83" s="51">
        <f t="shared" si="238"/>
        <v>275.62082701545273</v>
      </c>
      <c r="L83" s="51">
        <f t="shared" si="239"/>
        <v>269.47858135869365</v>
      </c>
      <c r="M83" s="51">
        <f t="shared" si="240"/>
        <v>263.30547188528249</v>
      </c>
      <c r="N83" s="51">
        <f t="shared" si="241"/>
        <v>257.09608560356651</v>
      </c>
      <c r="O83" s="51">
        <f t="shared" si="242"/>
        <v>250.8454096643824</v>
      </c>
      <c r="P83" s="51">
        <f t="shared" si="243"/>
        <v>244.54888640417539</v>
      </c>
      <c r="Q83" s="51">
        <f t="shared" si="244"/>
        <v>238.20246327796121</v>
      </c>
      <c r="R83" s="51">
        <f t="shared" si="245"/>
        <v>231.80263713522825</v>
      </c>
      <c r="S83" s="51">
        <f t="shared" si="246"/>
        <v>225.34649235924871</v>
      </c>
      <c r="T83" s="51">
        <f t="shared" si="247"/>
        <v>218.83173246264448</v>
      </c>
      <c r="U83" s="51">
        <f t="shared" si="248"/>
        <v>212.25670480840523</v>
      </c>
      <c r="V83" s="51">
        <f t="shared" si="249"/>
        <v>205.62041820484933</v>
      </c>
      <c r="W83" s="51">
        <f t="shared" si="250"/>
        <v>198.92255320421268</v>
      </c>
      <c r="X83" s="51">
        <f t="shared" si="251"/>
        <v>192.16346501661451</v>
      </c>
      <c r="Y83" s="51">
        <f t="shared" si="252"/>
        <v>185.3441790331064</v>
      </c>
      <c r="Z83" s="51">
        <f t="shared" si="253"/>
        <v>178.46637903240816</v>
      </c>
      <c r="AA83" s="51">
        <f t="shared" si="254"/>
        <v>171.53238822490522</v>
      </c>
      <c r="AB83" s="51">
        <f t="shared" si="255"/>
        <v>164.54514336370704</v>
      </c>
      <c r="AC83" s="51">
        <f t="shared" si="256"/>
        <v>157.50816222531989</v>
      </c>
      <c r="AD83" s="51">
        <f t="shared" si="257"/>
        <v>150.42550483110807</v>
      </c>
      <c r="AE83" s="51">
        <f t="shared" si="258"/>
        <v>143.30172884463735</v>
      </c>
      <c r="AF83" s="51">
        <f t="shared" si="259"/>
        <v>136.14183963871048</v>
      </c>
      <c r="AG83" s="51">
        <f t="shared" si="260"/>
        <v>128.95123557900021</v>
      </c>
      <c r="AH83" s="51">
        <f t="shared" si="261"/>
        <v>121.73564911830229</v>
      </c>
      <c r="AI83" s="51">
        <f t="shared" si="262"/>
        <v>114.5010843362888</v>
      </c>
      <c r="AJ83" s="51">
        <f t="shared" si="263"/>
        <v>107.25375159399977</v>
      </c>
      <c r="AK83" s="50">
        <f t="shared" si="141"/>
        <v>100</v>
      </c>
      <c r="AL83" s="21"/>
      <c r="AM83" s="41">
        <v>7.0000000000000007E-2</v>
      </c>
      <c r="AN83" s="37">
        <f t="shared" si="142"/>
        <v>-1076400000</v>
      </c>
      <c r="AO83" s="39">
        <f t="shared" si="143"/>
        <v>-1054589659.2872208</v>
      </c>
      <c r="AP83" s="39">
        <f t="shared" si="144"/>
        <v>-1032756156.4624287</v>
      </c>
      <c r="AQ83" s="39">
        <f t="shared" si="145"/>
        <v>-1010876585.2958997</v>
      </c>
      <c r="AR83" s="39">
        <f t="shared" si="146"/>
        <v>-988928548.4261446</v>
      </c>
      <c r="AS83" s="39">
        <f t="shared" si="147"/>
        <v>-966890404.58901525</v>
      </c>
      <c r="AT83" s="39">
        <f t="shared" si="148"/>
        <v>-944741507.30055797</v>
      </c>
      <c r="AU83" s="39">
        <f t="shared" si="149"/>
        <v>-922462432.30943561</v>
      </c>
      <c r="AV83" s="39">
        <f t="shared" si="150"/>
        <v>-900035191.27240133</v>
      </c>
      <c r="AW83" s="39">
        <f t="shared" si="151"/>
        <v>-877443429.27427137</v>
      </c>
      <c r="AX83" s="39">
        <f t="shared" si="152"/>
        <v>-854672604.0094918</v>
      </c>
      <c r="AY83" s="39">
        <f t="shared" si="153"/>
        <v>-831710144.6627723</v>
      </c>
      <c r="AZ83" s="39">
        <f t="shared" si="154"/>
        <v>-808545588.76805544</v>
      </c>
      <c r="BA83" s="39">
        <f t="shared" si="155"/>
        <v>-785170695.58485389</v>
      </c>
      <c r="BB83" s="39">
        <f t="shared" si="156"/>
        <v>-761579534.8049953</v>
      </c>
      <c r="BC83" s="39">
        <f t="shared" si="157"/>
        <v>-737768549.68739963</v>
      </c>
      <c r="BD83" s="39">
        <f t="shared" si="158"/>
        <v>-713736594.00987566</v>
      </c>
      <c r="BE83" s="39">
        <f t="shared" si="159"/>
        <v>-689484942.5214442</v>
      </c>
      <c r="BF83" s="39">
        <f t="shared" si="160"/>
        <v>-665017274.87278116</v>
      </c>
      <c r="BG83" s="39">
        <f t="shared" si="161"/>
        <v>-640339633.29268491</v>
      </c>
      <c r="BH83" s="39">
        <f t="shared" si="162"/>
        <v>-615460354.5618341</v>
      </c>
      <c r="BI83" s="39">
        <f t="shared" si="163"/>
        <v>-590389977.10862434</v>
      </c>
      <c r="BJ83" s="39">
        <f t="shared" si="164"/>
        <v>-565141124.31291366</v>
      </c>
      <c r="BK83" s="39">
        <f t="shared" si="165"/>
        <v>-539728365.34972274</v>
      </c>
      <c r="BL83" s="39">
        <f t="shared" si="166"/>
        <v>-514168055.13427496</v>
      </c>
      <c r="BM83" s="39">
        <f t="shared" si="167"/>
        <v>-488478155.1404205</v>
      </c>
      <c r="BN83" s="39">
        <f t="shared" si="168"/>
        <v>-462678037.05498153</v>
      </c>
      <c r="BO83" s="39">
        <f t="shared" si="169"/>
        <v>-436788271.39959639</v>
      </c>
      <c r="BP83" s="39">
        <f t="shared" si="170"/>
        <v>-410830403.39821494</v>
      </c>
      <c r="BQ83" s="39">
        <f t="shared" si="171"/>
        <v>-384826718.49166077</v>
      </c>
      <c r="BR83" s="37">
        <f t="shared" si="172"/>
        <v>-358800000</v>
      </c>
      <c r="BT83" s="34"/>
      <c r="BU83" s="41">
        <v>7.0000000000000007E-2</v>
      </c>
      <c r="BV83" s="37">
        <f t="shared" si="173"/>
        <v>0.40647187995004247</v>
      </c>
      <c r="BW83" s="39">
        <f t="shared" si="174"/>
        <v>0.40647187995004247</v>
      </c>
      <c r="BX83" s="39">
        <f t="shared" si="175"/>
        <v>0.40647187995004247</v>
      </c>
      <c r="BY83" s="39">
        <f t="shared" si="176"/>
        <v>0.40647187995004247</v>
      </c>
      <c r="BZ83" s="39">
        <f t="shared" si="177"/>
        <v>0.40647187995004247</v>
      </c>
      <c r="CA83" s="39">
        <f t="shared" si="178"/>
        <v>0.40647187995004247</v>
      </c>
      <c r="CB83" s="39">
        <f t="shared" si="179"/>
        <v>0.40647187995004247</v>
      </c>
      <c r="CC83" s="39">
        <f t="shared" si="180"/>
        <v>0.40647187995004247</v>
      </c>
      <c r="CD83" s="39">
        <f t="shared" si="181"/>
        <v>0.40647187995004247</v>
      </c>
      <c r="CE83" s="39">
        <f t="shared" si="182"/>
        <v>0.40647187995004247</v>
      </c>
      <c r="CF83" s="39">
        <f t="shared" si="183"/>
        <v>0.40647187995004247</v>
      </c>
      <c r="CG83" s="39">
        <f t="shared" si="184"/>
        <v>0.40647187995004247</v>
      </c>
      <c r="CH83" s="39">
        <f t="shared" si="185"/>
        <v>0.40647187995004247</v>
      </c>
      <c r="CI83" s="39">
        <f t="shared" si="186"/>
        <v>0.40647187995004247</v>
      </c>
      <c r="CJ83" s="39">
        <f t="shared" si="187"/>
        <v>0.40647187995004247</v>
      </c>
      <c r="CK83" s="39">
        <f t="shared" si="188"/>
        <v>0.40647187995004247</v>
      </c>
      <c r="CL83" s="39">
        <f t="shared" si="189"/>
        <v>0.40647187995004247</v>
      </c>
      <c r="CM83" s="39">
        <f t="shared" si="190"/>
        <v>0.40647187995004247</v>
      </c>
      <c r="CN83" s="39">
        <f t="shared" si="191"/>
        <v>0.40647187995004247</v>
      </c>
      <c r="CO83" s="39">
        <f t="shared" si="192"/>
        <v>0.40647187995004247</v>
      </c>
      <c r="CP83" s="39">
        <f t="shared" si="193"/>
        <v>0.40647187995004247</v>
      </c>
      <c r="CQ83" s="39">
        <f t="shared" si="194"/>
        <v>0.40647187995004247</v>
      </c>
      <c r="CR83" s="39">
        <f t="shared" si="195"/>
        <v>0.40647187995004247</v>
      </c>
      <c r="CS83" s="39">
        <f t="shared" si="196"/>
        <v>0.40647187995004247</v>
      </c>
      <c r="CT83" s="39">
        <f t="shared" si="197"/>
        <v>0.40647187995004247</v>
      </c>
      <c r="CU83" s="39">
        <f t="shared" si="198"/>
        <v>0.40647187995004247</v>
      </c>
      <c r="CV83" s="39">
        <f t="shared" si="199"/>
        <v>0.40647187995004247</v>
      </c>
      <c r="CW83" s="39">
        <f t="shared" si="200"/>
        <v>0.40647187995004247</v>
      </c>
      <c r="CX83" s="39">
        <f t="shared" si="201"/>
        <v>0.40647187995004247</v>
      </c>
      <c r="CY83" s="39">
        <f t="shared" si="202"/>
        <v>0.40647187995004247</v>
      </c>
      <c r="CZ83" s="37">
        <f t="shared" si="203"/>
        <v>0.40647187995004247</v>
      </c>
      <c r="DB83" s="34"/>
      <c r="DC83" s="41">
        <v>7.0000000000000007E-2</v>
      </c>
      <c r="DD83" s="37">
        <f t="shared" si="204"/>
        <v>178.05843601498725</v>
      </c>
      <c r="DE83" s="39">
        <f t="shared" si="205"/>
        <v>174.45021717568898</v>
      </c>
      <c r="DF83" s="39">
        <f t="shared" si="206"/>
        <v>170.83817074035991</v>
      </c>
      <c r="DG83" s="39">
        <f t="shared" si="207"/>
        <v>167.21851139387041</v>
      </c>
      <c r="DH83" s="39">
        <f t="shared" si="208"/>
        <v>163.58753790450032</v>
      </c>
      <c r="DI83" s="39">
        <f t="shared" si="209"/>
        <v>159.94167397557496</v>
      </c>
      <c r="DJ83" s="39">
        <f t="shared" si="210"/>
        <v>156.27750768547367</v>
      </c>
      <c r="DK83" s="39">
        <f t="shared" si="211"/>
        <v>152.59182907261615</v>
      </c>
      <c r="DL83" s="39">
        <f t="shared" si="212"/>
        <v>148.88166544474149</v>
      </c>
      <c r="DM83" s="39">
        <f t="shared" si="213"/>
        <v>145.14431401950557</v>
      </c>
      <c r="DN83" s="39">
        <f t="shared" si="214"/>
        <v>141.37737153570592</v>
      </c>
      <c r="DO83" s="39">
        <f t="shared" si="215"/>
        <v>137.57876051080723</v>
      </c>
      <c r="DP83" s="39">
        <f t="shared" si="216"/>
        <v>133.74675186034955</v>
      </c>
      <c r="DQ83" s="39">
        <f t="shared" si="217"/>
        <v>129.87998363769677</v>
      </c>
      <c r="DR83" s="39">
        <f t="shared" si="218"/>
        <v>125.97747569782246</v>
      </c>
      <c r="DS83" s="39">
        <f t="shared" si="219"/>
        <v>122.03864013581779</v>
      </c>
      <c r="DT83" s="39">
        <f t="shared" si="220"/>
        <v>118.0632873989305</v>
      </c>
      <c r="DU83" s="39">
        <f t="shared" si="221"/>
        <v>114.05162801959085</v>
      </c>
      <c r="DV83" s="39">
        <f t="shared" si="222"/>
        <v>110.00426996547374</v>
      </c>
      <c r="DW83" s="39">
        <f t="shared" si="223"/>
        <v>105.92221165062161</v>
      </c>
      <c r="DX83" s="39">
        <f t="shared" si="224"/>
        <v>101.8068306984928</v>
      </c>
      <c r="DY83" s="39">
        <f t="shared" si="225"/>
        <v>97.659868593023774</v>
      </c>
      <c r="DZ83" s="39">
        <f t="shared" si="226"/>
        <v>93.483411396963703</v>
      </c>
      <c r="EA83" s="39">
        <f t="shared" si="227"/>
        <v>89.279866757469094</v>
      </c>
      <c r="EB83" s="39">
        <f t="shared" si="228"/>
        <v>85.051937456890357</v>
      </c>
      <c r="EC83" s="39">
        <f t="shared" si="229"/>
        <v>80.802591801545944</v>
      </c>
      <c r="ED83" s="39">
        <f t="shared" si="230"/>
        <v>76.535031172810704</v>
      </c>
      <c r="EE83" s="39">
        <f t="shared" si="231"/>
        <v>72.252655092832654</v>
      </c>
      <c r="EF83" s="39">
        <f t="shared" si="232"/>
        <v>67.959024181463008</v>
      </c>
      <c r="EG83" s="39">
        <f t="shared" si="233"/>
        <v>63.657821401399588</v>
      </c>
      <c r="EH83" s="37">
        <f t="shared" si="234"/>
        <v>59.352812004995748</v>
      </c>
    </row>
    <row r="84" spans="5:138" x14ac:dyDescent="0.25">
      <c r="E84" s="32"/>
      <c r="F84" s="41">
        <v>6.6666666666666666E-2</v>
      </c>
      <c r="G84" s="50">
        <f t="shared" si="139"/>
        <v>300</v>
      </c>
      <c r="H84" s="51">
        <f t="shared" si="235"/>
        <v>293.92043064727471</v>
      </c>
      <c r="I84" s="51">
        <f t="shared" si="236"/>
        <v>287.83441575667314</v>
      </c>
      <c r="J84" s="51">
        <f t="shared" si="237"/>
        <v>281.73558098619401</v>
      </c>
      <c r="K84" s="51">
        <f t="shared" si="238"/>
        <v>275.61769358019205</v>
      </c>
      <c r="L84" s="51">
        <f t="shared" si="239"/>
        <v>269.47473115901892</v>
      </c>
      <c r="M84" s="51">
        <f t="shared" si="240"/>
        <v>263.30094813210269</v>
      </c>
      <c r="N84" s="51">
        <f t="shared" si="241"/>
        <v>257.09093898795385</v>
      </c>
      <c r="O84" s="51">
        <f t="shared" si="242"/>
        <v>250.8396977527922</v>
      </c>
      <c r="P84" s="51">
        <f t="shared" si="243"/>
        <v>244.54267295611683</v>
      </c>
      <c r="Q84" s="51">
        <f t="shared" si="244"/>
        <v>238.19581749585961</v>
      </c>
      <c r="R84" s="51">
        <f t="shared" si="245"/>
        <v>231.79563285695758</v>
      </c>
      <c r="S84" s="51">
        <f t="shared" si="246"/>
        <v>225.33920720433827</v>
      </c>
      <c r="T84" s="51">
        <f t="shared" si="247"/>
        <v>218.82424694347202</v>
      </c>
      <c r="U84" s="51">
        <f t="shared" si="248"/>
        <v>212.2491014177894</v>
      </c>
      <c r="V84" s="51">
        <f t="shared" si="249"/>
        <v>205.61278049135552</v>
      </c>
      <c r="W84" s="51">
        <f t="shared" si="250"/>
        <v>198.91496484620768</v>
      </c>
      <c r="X84" s="51">
        <f t="shared" si="251"/>
        <v>192.15600890566674</v>
      </c>
      <c r="Y84" s="51">
        <f t="shared" si="252"/>
        <v>185.33693637675427</v>
      </c>
      <c r="Z84" s="51">
        <f t="shared" si="253"/>
        <v>178.45942848563899</v>
      </c>
      <c r="AA84" s="51">
        <f t="shared" si="254"/>
        <v>171.52580505892439</v>
      </c>
      <c r="AB84" s="51">
        <f t="shared" si="255"/>
        <v>164.53899867976401</v>
      </c>
      <c r="AC84" s="51">
        <f t="shared" si="256"/>
        <v>157.50252222051847</v>
      </c>
      <c r="AD84" s="51">
        <f t="shared" si="257"/>
        <v>150.42043012228584</v>
      </c>
      <c r="AE84" s="51">
        <f t="shared" si="258"/>
        <v>143.29727385557769</v>
      </c>
      <c r="AF84" s="51">
        <f t="shared" si="259"/>
        <v>136.13805205516331</v>
      </c>
      <c r="AG84" s="51">
        <f t="shared" si="260"/>
        <v>128.94815587524883</v>
      </c>
      <c r="AH84" s="51">
        <f t="shared" si="261"/>
        <v>121.73331015833129</v>
      </c>
      <c r="AI84" s="51">
        <f t="shared" si="262"/>
        <v>114.4995110519834</v>
      </c>
      <c r="AJ84" s="51">
        <f t="shared" si="263"/>
        <v>107.25296074224046</v>
      </c>
      <c r="AK84" s="50">
        <f t="shared" si="141"/>
        <v>100</v>
      </c>
      <c r="AL84" s="21"/>
      <c r="AM84" s="41">
        <v>6.6666666666666666E-2</v>
      </c>
      <c r="AN84" s="37">
        <f t="shared" si="142"/>
        <v>-1076400000</v>
      </c>
      <c r="AO84" s="39">
        <f t="shared" si="143"/>
        <v>-1054586728.2812337</v>
      </c>
      <c r="AP84" s="39">
        <f t="shared" si="144"/>
        <v>-1032750327.4609257</v>
      </c>
      <c r="AQ84" s="39">
        <f t="shared" si="145"/>
        <v>-1010867923.9187934</v>
      </c>
      <c r="AR84" s="39">
        <f t="shared" si="146"/>
        <v>-988917152.10685802</v>
      </c>
      <c r="AS84" s="39">
        <f t="shared" si="147"/>
        <v>-966876401.3957535</v>
      </c>
      <c r="AT84" s="39">
        <f t="shared" si="148"/>
        <v>-944725054.39259446</v>
      </c>
      <c r="AU84" s="39">
        <f t="shared" si="149"/>
        <v>-922443714.05150259</v>
      </c>
      <c r="AV84" s="39">
        <f t="shared" si="150"/>
        <v>-900014417.03504229</v>
      </c>
      <c r="AW84" s="39">
        <f t="shared" si="151"/>
        <v>-877420830.95214331</v>
      </c>
      <c r="AX84" s="39">
        <f t="shared" si="152"/>
        <v>-854648433.29305005</v>
      </c>
      <c r="AY84" s="39">
        <f t="shared" si="153"/>
        <v>-831684670.10144806</v>
      </c>
      <c r="AZ84" s="39">
        <f t="shared" si="154"/>
        <v>-808519092.66495478</v>
      </c>
      <c r="BA84" s="39">
        <f t="shared" si="155"/>
        <v>-785143470.76411891</v>
      </c>
      <c r="BB84" s="39">
        <f t="shared" si="156"/>
        <v>-761551881.29334188</v>
      </c>
      <c r="BC84" s="39">
        <f t="shared" si="157"/>
        <v>-737740771.35098016</v>
      </c>
      <c r="BD84" s="39">
        <f t="shared" si="158"/>
        <v>-713708995.18660557</v>
      </c>
      <c r="BE84" s="39">
        <f t="shared" si="159"/>
        <v>-689457824.68733203</v>
      </c>
      <c r="BF84" s="39">
        <f t="shared" si="160"/>
        <v>-664990933.37871504</v>
      </c>
      <c r="BG84" s="39">
        <f t="shared" si="161"/>
        <v>-640314354.20565212</v>
      </c>
      <c r="BH84" s="39">
        <f t="shared" si="162"/>
        <v>-615436411.64177775</v>
      </c>
      <c r="BI84" s="39">
        <f t="shared" si="163"/>
        <v>-590367628.94918251</v>
      </c>
      <c r="BJ84" s="39">
        <f t="shared" si="164"/>
        <v>-565120611.6712327</v>
      </c>
      <c r="BK84" s="39">
        <f t="shared" si="165"/>
        <v>-539709908.68747389</v>
      </c>
      <c r="BL84" s="39">
        <f t="shared" si="166"/>
        <v>-514151852.38901442</v>
      </c>
      <c r="BM84" s="39">
        <f t="shared" si="167"/>
        <v>-488464379.74356908</v>
      </c>
      <c r="BN84" s="39">
        <f t="shared" si="168"/>
        <v>-462666836.2100147</v>
      </c>
      <c r="BO84" s="39">
        <f t="shared" si="169"/>
        <v>-436779764.63155198</v>
      </c>
      <c r="BP84" s="39">
        <f t="shared" si="170"/>
        <v>-410824681.38335592</v>
      </c>
      <c r="BQ84" s="39">
        <f t="shared" si="171"/>
        <v>-384823842.17406881</v>
      </c>
      <c r="BR84" s="37">
        <f t="shared" si="172"/>
        <v>-358800000</v>
      </c>
      <c r="BT84" s="34"/>
      <c r="BU84" s="41">
        <v>6.6666666666666666E-2</v>
      </c>
      <c r="BV84" s="37">
        <f t="shared" si="173"/>
        <v>0.40647187995004258</v>
      </c>
      <c r="BW84" s="39">
        <f t="shared" si="174"/>
        <v>0.40647187995004258</v>
      </c>
      <c r="BX84" s="39">
        <f t="shared" si="175"/>
        <v>0.40647187995004258</v>
      </c>
      <c r="BY84" s="39">
        <f t="shared" si="176"/>
        <v>0.40647187995004258</v>
      </c>
      <c r="BZ84" s="39">
        <f t="shared" si="177"/>
        <v>0.40647187995004258</v>
      </c>
      <c r="CA84" s="39">
        <f t="shared" si="178"/>
        <v>0.40647187995004258</v>
      </c>
      <c r="CB84" s="39">
        <f t="shared" si="179"/>
        <v>0.40647187995004258</v>
      </c>
      <c r="CC84" s="39">
        <f t="shared" si="180"/>
        <v>0.40647187995004258</v>
      </c>
      <c r="CD84" s="39">
        <f t="shared" si="181"/>
        <v>0.40647187995004258</v>
      </c>
      <c r="CE84" s="39">
        <f t="shared" si="182"/>
        <v>0.40647187995004258</v>
      </c>
      <c r="CF84" s="39">
        <f t="shared" si="183"/>
        <v>0.40647187995004258</v>
      </c>
      <c r="CG84" s="39">
        <f t="shared" si="184"/>
        <v>0.40647187995004258</v>
      </c>
      <c r="CH84" s="39">
        <f t="shared" si="185"/>
        <v>0.40647187995004258</v>
      </c>
      <c r="CI84" s="39">
        <f t="shared" si="186"/>
        <v>0.40647187995004258</v>
      </c>
      <c r="CJ84" s="39">
        <f t="shared" si="187"/>
        <v>0.40647187995004258</v>
      </c>
      <c r="CK84" s="39">
        <f t="shared" si="188"/>
        <v>0.40647187995004258</v>
      </c>
      <c r="CL84" s="39">
        <f t="shared" si="189"/>
        <v>0.40647187995004258</v>
      </c>
      <c r="CM84" s="39">
        <f t="shared" si="190"/>
        <v>0.40647187995004258</v>
      </c>
      <c r="CN84" s="39">
        <f t="shared" si="191"/>
        <v>0.40647187995004258</v>
      </c>
      <c r="CO84" s="39">
        <f t="shared" si="192"/>
        <v>0.40647187995004258</v>
      </c>
      <c r="CP84" s="39">
        <f t="shared" si="193"/>
        <v>0.40647187995004258</v>
      </c>
      <c r="CQ84" s="39">
        <f t="shared" si="194"/>
        <v>0.40647187995004258</v>
      </c>
      <c r="CR84" s="39">
        <f t="shared" si="195"/>
        <v>0.40647187995004258</v>
      </c>
      <c r="CS84" s="39">
        <f t="shared" si="196"/>
        <v>0.40647187995004258</v>
      </c>
      <c r="CT84" s="39">
        <f t="shared" si="197"/>
        <v>0.40647187995004258</v>
      </c>
      <c r="CU84" s="39">
        <f t="shared" si="198"/>
        <v>0.40647187995004258</v>
      </c>
      <c r="CV84" s="39">
        <f t="shared" si="199"/>
        <v>0.40647187995004258</v>
      </c>
      <c r="CW84" s="39">
        <f t="shared" si="200"/>
        <v>0.40647187995004258</v>
      </c>
      <c r="CX84" s="39">
        <f t="shared" si="201"/>
        <v>0.40647187995004258</v>
      </c>
      <c r="CY84" s="39">
        <f t="shared" si="202"/>
        <v>0.40647187995004258</v>
      </c>
      <c r="CZ84" s="37">
        <f t="shared" si="203"/>
        <v>0.40647187995004258</v>
      </c>
      <c r="DB84" s="34"/>
      <c r="DC84" s="41">
        <v>6.6666666666666666E-2</v>
      </c>
      <c r="DD84" s="37">
        <f t="shared" si="204"/>
        <v>178.05843601498719</v>
      </c>
      <c r="DE84" s="39">
        <f t="shared" si="205"/>
        <v>174.44971307701459</v>
      </c>
      <c r="DF84" s="39">
        <f t="shared" si="206"/>
        <v>170.83716822028799</v>
      </c>
      <c r="DG84" s="39">
        <f t="shared" si="207"/>
        <v>167.21702173798977</v>
      </c>
      <c r="DH84" s="39">
        <f t="shared" si="208"/>
        <v>163.58557786983548</v>
      </c>
      <c r="DI84" s="39">
        <f t="shared" si="209"/>
        <v>159.93926558788021</v>
      </c>
      <c r="DJ84" s="39">
        <f t="shared" si="210"/>
        <v>156.27467797375886</v>
      </c>
      <c r="DK84" s="39">
        <f t="shared" si="211"/>
        <v>152.5886097448751</v>
      </c>
      <c r="DL84" s="39">
        <f t="shared" si="212"/>
        <v>148.87809250967211</v>
      </c>
      <c r="DM84" s="39">
        <f t="shared" si="213"/>
        <v>145.14042735972225</v>
      </c>
      <c r="DN84" s="39">
        <f t="shared" si="214"/>
        <v>141.37321443853574</v>
      </c>
      <c r="DO84" s="39">
        <f t="shared" si="215"/>
        <v>137.5743791632238</v>
      </c>
      <c r="DP84" s="39">
        <f t="shared" si="216"/>
        <v>133.74219481492653</v>
      </c>
      <c r="DQ84" s="39">
        <f t="shared" si="217"/>
        <v>129.87530125665617</v>
      </c>
      <c r="DR84" s="39">
        <f t="shared" si="218"/>
        <v>125.9727195823157</v>
      </c>
      <c r="DS84" s="39">
        <f t="shared" si="219"/>
        <v>122.03386254751646</v>
      </c>
      <c r="DT84" s="39">
        <f t="shared" si="220"/>
        <v>118.058540680829</v>
      </c>
      <c r="DU84" s="39">
        <f t="shared" si="221"/>
        <v>114.04696402264919</v>
      </c>
      <c r="DV84" s="39">
        <f t="shared" si="222"/>
        <v>109.99973948737025</v>
      </c>
      <c r="DW84" s="39">
        <f t="shared" si="223"/>
        <v>105.9178638924592</v>
      </c>
      <c r="DX84" s="39">
        <f t="shared" si="224"/>
        <v>101.80271274482661</v>
      </c>
      <c r="DY84" s="39">
        <f t="shared" si="225"/>
        <v>97.656024920068731</v>
      </c>
      <c r="DZ84" s="39">
        <f t="shared" si="226"/>
        <v>93.479883413316415</v>
      </c>
      <c r="EA84" s="39">
        <f t="shared" si="227"/>
        <v>89.276692381151122</v>
      </c>
      <c r="EB84" s="39">
        <f t="shared" si="228"/>
        <v>85.049150732006694</v>
      </c>
      <c r="EC84" s="39">
        <f t="shared" si="229"/>
        <v>80.800222557359433</v>
      </c>
      <c r="ED84" s="39">
        <f t="shared" si="230"/>
        <v>76.533104727571796</v>
      </c>
      <c r="EE84" s="39">
        <f t="shared" si="231"/>
        <v>72.25119200427622</v>
      </c>
      <c r="EF84" s="39">
        <f t="shared" si="232"/>
        <v>67.958040045493718</v>
      </c>
      <c r="EG84" s="39">
        <f t="shared" si="233"/>
        <v>63.657326700132501</v>
      </c>
      <c r="EH84" s="37">
        <f t="shared" si="234"/>
        <v>59.352812004995741</v>
      </c>
    </row>
    <row r="85" spans="5:138" x14ac:dyDescent="0.25">
      <c r="E85" s="32"/>
      <c r="F85" s="41">
        <v>6.3333333333333339E-2</v>
      </c>
      <c r="G85" s="50">
        <f t="shared" si="139"/>
        <v>300</v>
      </c>
      <c r="H85" s="51">
        <f t="shared" si="235"/>
        <v>293.91957086946854</v>
      </c>
      <c r="I85" s="51">
        <f t="shared" si="236"/>
        <v>287.83270588394828</v>
      </c>
      <c r="J85" s="51">
        <f t="shared" si="237"/>
        <v>281.73304026670803</v>
      </c>
      <c r="K85" s="51">
        <f t="shared" si="238"/>
        <v>275.61435059393409</v>
      </c>
      <c r="L85" s="51">
        <f t="shared" si="239"/>
        <v>269.47062347209942</v>
      </c>
      <c r="M85" s="51">
        <f t="shared" si="240"/>
        <v>263.29612184399303</v>
      </c>
      <c r="N85" s="51">
        <f t="shared" si="241"/>
        <v>257.08544817844654</v>
      </c>
      <c r="O85" s="51">
        <f t="shared" si="242"/>
        <v>250.83360383684848</v>
      </c>
      <c r="P85" s="51">
        <f t="shared" si="243"/>
        <v>244.53604395598194</v>
      </c>
      <c r="Q85" s="51">
        <f t="shared" si="244"/>
        <v>238.18872724083397</v>
      </c>
      <c r="R85" s="51">
        <f t="shared" si="245"/>
        <v>231.78816012199997</v>
      </c>
      <c r="S85" s="51">
        <f t="shared" si="246"/>
        <v>225.33143479923723</v>
      </c>
      <c r="T85" s="51">
        <f t="shared" si="247"/>
        <v>218.81626076465199</v>
      </c>
      <c r="U85" s="51">
        <f t="shared" si="248"/>
        <v>212.24098947492399</v>
      </c>
      <c r="V85" s="51">
        <f t="shared" si="249"/>
        <v>205.6046319208578</v>
      </c>
      <c r="W85" s="51">
        <f t="shared" si="250"/>
        <v>198.90686892336885</v>
      </c>
      <c r="X85" s="51">
        <f t="shared" si="251"/>
        <v>192.14805406674802</v>
      </c>
      <c r="Y85" s="51">
        <f t="shared" si="252"/>
        <v>185.32920926172565</v>
      </c>
      <c r="Z85" s="51">
        <f t="shared" si="253"/>
        <v>178.45201301153188</v>
      </c>
      <c r="AA85" s="51">
        <f t="shared" si="254"/>
        <v>171.51878153295394</v>
      </c>
      <c r="AB85" s="51">
        <f t="shared" si="255"/>
        <v>164.53244296050957</v>
      </c>
      <c r="AC85" s="51">
        <f t="shared" si="256"/>
        <v>157.49650493455465</v>
      </c>
      <c r="AD85" s="51">
        <f t="shared" si="257"/>
        <v>150.41501594276016</v>
      </c>
      <c r="AE85" s="51">
        <f t="shared" si="258"/>
        <v>143.29252084835338</v>
      </c>
      <c r="AF85" s="51">
        <f t="shared" si="259"/>
        <v>136.1340110973062</v>
      </c>
      <c r="AG85" s="51">
        <f t="shared" si="260"/>
        <v>128.94487014984963</v>
      </c>
      <c r="AH85" s="51">
        <f t="shared" si="261"/>
        <v>121.73081472892571</v>
      </c>
      <c r="AI85" s="51">
        <f t="shared" si="262"/>
        <v>114.49783251916605</v>
      </c>
      <c r="AJ85" s="51">
        <f t="shared" si="263"/>
        <v>107.25211698446424</v>
      </c>
      <c r="AK85" s="50">
        <f t="shared" si="141"/>
        <v>100</v>
      </c>
      <c r="AL85" s="21"/>
      <c r="AM85" s="41">
        <v>6.3333333333333339E-2</v>
      </c>
      <c r="AN85" s="37">
        <f t="shared" si="142"/>
        <v>-1076400000</v>
      </c>
      <c r="AO85" s="39">
        <f t="shared" si="143"/>
        <v>-1054583601.3309698</v>
      </c>
      <c r="AP85" s="39">
        <f t="shared" si="144"/>
        <v>-1032744108.7765812</v>
      </c>
      <c r="AQ85" s="39">
        <f t="shared" si="145"/>
        <v>-1010858683.5049561</v>
      </c>
      <c r="AR85" s="39">
        <f t="shared" si="146"/>
        <v>-988904993.9074986</v>
      </c>
      <c r="AS85" s="39">
        <f t="shared" si="147"/>
        <v>-966861462.03686929</v>
      </c>
      <c r="AT85" s="39">
        <f t="shared" si="148"/>
        <v>-944707501.53551018</v>
      </c>
      <c r="AU85" s="39">
        <f t="shared" si="149"/>
        <v>-922423744.38145542</v>
      </c>
      <c r="AV85" s="39">
        <f t="shared" si="150"/>
        <v>-899992253.91475594</v>
      </c>
      <c r="AW85" s="39">
        <f t="shared" si="151"/>
        <v>-877396721.77450848</v>
      </c>
      <c r="AX85" s="39">
        <f t="shared" si="152"/>
        <v>-854622646.57069445</v>
      </c>
      <c r="AY85" s="39">
        <f t="shared" si="153"/>
        <v>-831657492.33384848</v>
      </c>
      <c r="AZ85" s="39">
        <f t="shared" si="154"/>
        <v>-808490825.02577162</v>
      </c>
      <c r="BA85" s="39">
        <f t="shared" si="155"/>
        <v>-785114425.65264559</v>
      </c>
      <c r="BB85" s="39">
        <f t="shared" si="156"/>
        <v>-761522378.79433978</v>
      </c>
      <c r="BC85" s="39">
        <f t="shared" si="157"/>
        <v>-737711135.64679551</v>
      </c>
      <c r="BD85" s="39">
        <f t="shared" si="158"/>
        <v>-713679550.96438503</v>
      </c>
      <c r="BE85" s="39">
        <f t="shared" si="159"/>
        <v>-689428893.58244765</v>
      </c>
      <c r="BF85" s="39">
        <f t="shared" si="160"/>
        <v>-664962830.4932946</v>
      </c>
      <c r="BG85" s="39">
        <f t="shared" si="161"/>
        <v>-640287384.73846066</v>
      </c>
      <c r="BH85" s="39">
        <f t="shared" si="162"/>
        <v>-615410867.6627506</v>
      </c>
      <c r="BI85" s="39">
        <f t="shared" si="163"/>
        <v>-590343786.34874952</v>
      </c>
      <c r="BJ85" s="39">
        <f t="shared" si="164"/>
        <v>-565098727.31132019</v>
      </c>
      <c r="BK85" s="39">
        <f t="shared" si="165"/>
        <v>-539690217.777807</v>
      </c>
      <c r="BL85" s="39">
        <f t="shared" si="166"/>
        <v>-514134566.10915011</v>
      </c>
      <c r="BM85" s="39">
        <f t="shared" si="167"/>
        <v>-488449683.1280396</v>
      </c>
      <c r="BN85" s="39">
        <f t="shared" si="168"/>
        <v>-462654886.31109363</v>
      </c>
      <c r="BO85" s="39">
        <f t="shared" si="169"/>
        <v>-436770688.97150606</v>
      </c>
      <c r="BP85" s="39">
        <f t="shared" si="170"/>
        <v>-410818576.70562255</v>
      </c>
      <c r="BQ85" s="39">
        <f t="shared" si="171"/>
        <v>-384820773.50059885</v>
      </c>
      <c r="BR85" s="37">
        <f t="shared" si="172"/>
        <v>-358800000</v>
      </c>
      <c r="BT85" s="34"/>
      <c r="BU85" s="41">
        <v>6.3333333333333339E-2</v>
      </c>
      <c r="BV85" s="37">
        <f t="shared" si="173"/>
        <v>0.40647187995004358</v>
      </c>
      <c r="BW85" s="39">
        <f t="shared" si="174"/>
        <v>0.40647187995004358</v>
      </c>
      <c r="BX85" s="39">
        <f t="shared" si="175"/>
        <v>0.40647187995004358</v>
      </c>
      <c r="BY85" s="39">
        <f t="shared" si="176"/>
        <v>0.40647187995004358</v>
      </c>
      <c r="BZ85" s="39">
        <f t="shared" si="177"/>
        <v>0.40647187995004358</v>
      </c>
      <c r="CA85" s="39">
        <f t="shared" si="178"/>
        <v>0.40647187995004358</v>
      </c>
      <c r="CB85" s="39">
        <f t="shared" si="179"/>
        <v>0.40647187995004358</v>
      </c>
      <c r="CC85" s="39">
        <f t="shared" si="180"/>
        <v>0.40647187995004358</v>
      </c>
      <c r="CD85" s="39">
        <f t="shared" si="181"/>
        <v>0.40647187995004358</v>
      </c>
      <c r="CE85" s="39">
        <f t="shared" si="182"/>
        <v>0.40647187995004358</v>
      </c>
      <c r="CF85" s="39">
        <f t="shared" si="183"/>
        <v>0.40647187995004358</v>
      </c>
      <c r="CG85" s="39">
        <f t="shared" si="184"/>
        <v>0.40647187995004358</v>
      </c>
      <c r="CH85" s="39">
        <f t="shared" si="185"/>
        <v>0.40647187995004358</v>
      </c>
      <c r="CI85" s="39">
        <f t="shared" si="186"/>
        <v>0.40647187995004358</v>
      </c>
      <c r="CJ85" s="39">
        <f t="shared" si="187"/>
        <v>0.40647187995004358</v>
      </c>
      <c r="CK85" s="39">
        <f t="shared" si="188"/>
        <v>0.40647187995004358</v>
      </c>
      <c r="CL85" s="39">
        <f t="shared" si="189"/>
        <v>0.40647187995004358</v>
      </c>
      <c r="CM85" s="39">
        <f t="shared" si="190"/>
        <v>0.40647187995004358</v>
      </c>
      <c r="CN85" s="39">
        <f t="shared" si="191"/>
        <v>0.40647187995004358</v>
      </c>
      <c r="CO85" s="39">
        <f t="shared" si="192"/>
        <v>0.40647187995004358</v>
      </c>
      <c r="CP85" s="39">
        <f t="shared" si="193"/>
        <v>0.40647187995004358</v>
      </c>
      <c r="CQ85" s="39">
        <f t="shared" si="194"/>
        <v>0.40647187995004358</v>
      </c>
      <c r="CR85" s="39">
        <f t="shared" si="195"/>
        <v>0.40647187995004358</v>
      </c>
      <c r="CS85" s="39">
        <f t="shared" si="196"/>
        <v>0.40647187995004358</v>
      </c>
      <c r="CT85" s="39">
        <f t="shared" si="197"/>
        <v>0.40647187995004358</v>
      </c>
      <c r="CU85" s="39">
        <f t="shared" si="198"/>
        <v>0.40647187995004358</v>
      </c>
      <c r="CV85" s="39">
        <f t="shared" si="199"/>
        <v>0.40647187995004358</v>
      </c>
      <c r="CW85" s="39">
        <f t="shared" si="200"/>
        <v>0.40647187995004358</v>
      </c>
      <c r="CX85" s="39">
        <f t="shared" si="201"/>
        <v>0.40647187995004358</v>
      </c>
      <c r="CY85" s="39">
        <f t="shared" si="202"/>
        <v>0.40647187995004358</v>
      </c>
      <c r="CZ85" s="37">
        <f t="shared" si="203"/>
        <v>0.40647187995004358</v>
      </c>
      <c r="DB85" s="34"/>
      <c r="DC85" s="41">
        <v>6.3333333333333339E-2</v>
      </c>
      <c r="DD85" s="37">
        <f t="shared" si="204"/>
        <v>178.05843601498691</v>
      </c>
      <c r="DE85" s="39">
        <f t="shared" si="205"/>
        <v>174.44918086854437</v>
      </c>
      <c r="DF85" s="39">
        <f t="shared" si="206"/>
        <v>170.83610979701092</v>
      </c>
      <c r="DG85" s="39">
        <f t="shared" si="207"/>
        <v>167.21544901443201</v>
      </c>
      <c r="DH85" s="39">
        <f t="shared" si="208"/>
        <v>163.58350853689834</v>
      </c>
      <c r="DI85" s="39">
        <f t="shared" si="209"/>
        <v>159.93672289886038</v>
      </c>
      <c r="DJ85" s="39">
        <f t="shared" si="210"/>
        <v>156.27169046410833</v>
      </c>
      <c r="DK85" s="39">
        <f t="shared" si="211"/>
        <v>152.58521088989099</v>
      </c>
      <c r="DL85" s="39">
        <f t="shared" si="212"/>
        <v>148.87432032517032</v>
      </c>
      <c r="DM85" s="39">
        <f t="shared" si="213"/>
        <v>145.13632395150046</v>
      </c>
      <c r="DN85" s="39">
        <f t="shared" si="214"/>
        <v>141.36882550705442</v>
      </c>
      <c r="DO85" s="39">
        <f t="shared" si="215"/>
        <v>137.56975347042231</v>
      </c>
      <c r="DP85" s="39">
        <f t="shared" si="216"/>
        <v>133.73738362043744</v>
      </c>
      <c r="DQ85" s="39">
        <f t="shared" si="217"/>
        <v>129.87035773088633</v>
      </c>
      <c r="DR85" s="39">
        <f t="shared" si="218"/>
        <v>125.96769820392767</v>
      </c>
      <c r="DS85" s="39">
        <f t="shared" si="219"/>
        <v>122.02881849278087</v>
      </c>
      <c r="DT85" s="39">
        <f t="shared" si="220"/>
        <v>118.05352921213397</v>
      </c>
      <c r="DU85" s="39">
        <f t="shared" si="221"/>
        <v>114.04203988316434</v>
      </c>
      <c r="DV85" s="39">
        <f t="shared" si="222"/>
        <v>109.99495630848473</v>
      </c>
      <c r="DW85" s="39">
        <f t="shared" si="223"/>
        <v>105.91327362016384</v>
      </c>
      <c r="DX85" s="39">
        <f t="shared" si="224"/>
        <v>101.79836509070824</v>
      </c>
      <c r="DY85" s="39">
        <f t="shared" si="225"/>
        <v>97.651966842048168</v>
      </c>
      <c r="DZ85" s="39">
        <f t="shared" si="226"/>
        <v>93.476158630707005</v>
      </c>
      <c r="EA85" s="39">
        <f t="shared" si="227"/>
        <v>89.273340928060477</v>
      </c>
      <c r="EB85" s="39">
        <f t="shared" si="228"/>
        <v>85.046208552560486</v>
      </c>
      <c r="EC85" s="39">
        <f t="shared" si="229"/>
        <v>80.797721145707072</v>
      </c>
      <c r="ED85" s="39">
        <f t="shared" si="230"/>
        <v>76.531070815145995</v>
      </c>
      <c r="EE85" s="39">
        <f t="shared" si="231"/>
        <v>72.249647296327041</v>
      </c>
      <c r="EF85" s="39">
        <f t="shared" si="232"/>
        <v>67.957001008505571</v>
      </c>
      <c r="EG85" s="39">
        <f t="shared" si="233"/>
        <v>63.65680440135754</v>
      </c>
      <c r="EH85" s="37">
        <f t="shared" si="234"/>
        <v>59.352812004995634</v>
      </c>
    </row>
    <row r="86" spans="5:138" x14ac:dyDescent="0.25">
      <c r="E86" s="32"/>
      <c r="F86" s="41">
        <v>6.0000000000000005E-2</v>
      </c>
      <c r="G86" s="50">
        <f t="shared" si="139"/>
        <v>300</v>
      </c>
      <c r="H86" s="51">
        <f t="shared" si="235"/>
        <v>293.9186673594603</v>
      </c>
      <c r="I86" s="51">
        <f t="shared" si="236"/>
        <v>287.83090903900739</v>
      </c>
      <c r="J86" s="51">
        <f t="shared" si="237"/>
        <v>281.7303703134038</v>
      </c>
      <c r="K86" s="51">
        <f t="shared" si="238"/>
        <v>275.61083756505218</v>
      </c>
      <c r="L86" s="51">
        <f t="shared" si="239"/>
        <v>269.46630684339812</v>
      </c>
      <c r="M86" s="51">
        <f t="shared" si="240"/>
        <v>263.2910500584768</v>
      </c>
      <c r="N86" s="51">
        <f t="shared" si="241"/>
        <v>257.07967806527034</v>
      </c>
      <c r="O86" s="51">
        <f t="shared" si="242"/>
        <v>250.82719993343051</v>
      </c>
      <c r="P86" s="51">
        <f t="shared" si="243"/>
        <v>244.52907774317922</v>
      </c>
      <c r="Q86" s="51">
        <f t="shared" si="244"/>
        <v>238.18127630209287</v>
      </c>
      <c r="R86" s="51">
        <f t="shared" si="245"/>
        <v>231.78030723822286</v>
      </c>
      <c r="S86" s="51">
        <f t="shared" si="246"/>
        <v>225.32326699169454</v>
      </c>
      <c r="T86" s="51">
        <f t="shared" si="247"/>
        <v>218.80786829861597</v>
      </c>
      <c r="U86" s="51">
        <f t="shared" si="248"/>
        <v>212.23246483681402</v>
      </c>
      <c r="V86" s="51">
        <f t="shared" si="249"/>
        <v>205.59606878157803</v>
      </c>
      <c r="W86" s="51">
        <f t="shared" si="250"/>
        <v>198.89836110020693</v>
      </c>
      <c r="X86" s="51">
        <f t="shared" si="251"/>
        <v>192.13969449571437</v>
      </c>
      <c r="Y86" s="51">
        <f t="shared" si="252"/>
        <v>185.32108899157072</v>
      </c>
      <c r="Z86" s="51">
        <f t="shared" si="253"/>
        <v>178.44422022991648</v>
      </c>
      <c r="AA86" s="51">
        <f t="shared" si="254"/>
        <v>171.51140063439613</v>
      </c>
      <c r="AB86" s="51">
        <f t="shared" si="255"/>
        <v>164.52555366482011</v>
      </c>
      <c r="AC86" s="51">
        <f t="shared" si="256"/>
        <v>157.49018146353336</v>
      </c>
      <c r="AD86" s="51">
        <f t="shared" si="257"/>
        <v>150.40932626198247</v>
      </c>
      <c r="AE86" s="51">
        <f t="shared" si="258"/>
        <v>143.28752597995557</v>
      </c>
      <c r="AF86" s="51">
        <f t="shared" si="259"/>
        <v>136.12976450879572</v>
      </c>
      <c r="AG86" s="51">
        <f t="shared" si="260"/>
        <v>128.9414172231381</v>
      </c>
      <c r="AH86" s="51">
        <f t="shared" si="261"/>
        <v>121.72819231301753</v>
      </c>
      <c r="AI86" s="51">
        <f t="shared" si="262"/>
        <v>114.49606856923407</v>
      </c>
      <c r="AJ86" s="51">
        <f t="shared" si="263"/>
        <v>107.25123028940757</v>
      </c>
      <c r="AK86" s="50">
        <f t="shared" si="141"/>
        <v>100</v>
      </c>
      <c r="AL86" s="21"/>
      <c r="AM86" s="41">
        <v>6.0000000000000005E-2</v>
      </c>
      <c r="AN86" s="37">
        <f t="shared" si="142"/>
        <v>-1076400000</v>
      </c>
      <c r="AO86" s="39">
        <f t="shared" si="143"/>
        <v>-1054580315.4038293</v>
      </c>
      <c r="AP86" s="39">
        <f t="shared" si="144"/>
        <v>-1032737573.9276661</v>
      </c>
      <c r="AQ86" s="39">
        <f t="shared" si="145"/>
        <v>-1010848973.2955405</v>
      </c>
      <c r="AR86" s="39">
        <f t="shared" si="146"/>
        <v>-988892217.56270897</v>
      </c>
      <c r="AS86" s="39">
        <f t="shared" si="147"/>
        <v>-966845763.12459552</v>
      </c>
      <c r="AT86" s="39">
        <f t="shared" si="148"/>
        <v>-944689056.2362268</v>
      </c>
      <c r="AU86" s="39">
        <f t="shared" si="149"/>
        <v>-922402759.37482512</v>
      </c>
      <c r="AV86" s="39">
        <f t="shared" si="150"/>
        <v>-899968963.91421413</v>
      </c>
      <c r="AW86" s="39">
        <f t="shared" si="151"/>
        <v>-877371386.74566853</v>
      </c>
      <c r="AX86" s="39">
        <f t="shared" si="152"/>
        <v>-854595548.67326212</v>
      </c>
      <c r="AY86" s="39">
        <f t="shared" si="153"/>
        <v>-831628932.62974799</v>
      </c>
      <c r="AZ86" s="39">
        <f t="shared" si="154"/>
        <v>-808461119.99832642</v>
      </c>
      <c r="BA86" s="39">
        <f t="shared" si="155"/>
        <v>-785083903.58291602</v>
      </c>
      <c r="BB86" s="39">
        <f t="shared" si="156"/>
        <v>-761491376.04113412</v>
      </c>
      <c r="BC86" s="39">
        <f t="shared" si="157"/>
        <v>-737679992.87647414</v>
      </c>
      <c r="BD86" s="39">
        <f t="shared" si="158"/>
        <v>-713648609.37544167</v>
      </c>
      <c r="BE86" s="39">
        <f t="shared" si="159"/>
        <v>-689398491.16807175</v>
      </c>
      <c r="BF86" s="39">
        <f t="shared" si="160"/>
        <v>-664933298.38278306</v>
      </c>
      <c r="BG86" s="39">
        <f t="shared" si="161"/>
        <v>-640259043.65557599</v>
      </c>
      <c r="BH86" s="39">
        <f t="shared" si="162"/>
        <v>-615384024.53602195</v>
      </c>
      <c r="BI86" s="39">
        <f t="shared" si="163"/>
        <v>-590318731.10540068</v>
      </c>
      <c r="BJ86" s="39">
        <f t="shared" si="164"/>
        <v>-565075729.88308966</v>
      </c>
      <c r="BK86" s="39">
        <f t="shared" si="165"/>
        <v>-539669525.34349453</v>
      </c>
      <c r="BL86" s="39">
        <f t="shared" si="166"/>
        <v>-514116400.59537661</v>
      </c>
      <c r="BM86" s="39">
        <f t="shared" si="167"/>
        <v>-488434238.9864971</v>
      </c>
      <c r="BN86" s="39">
        <f t="shared" si="168"/>
        <v>-462642328.58755147</v>
      </c>
      <c r="BO86" s="39">
        <f t="shared" si="169"/>
        <v>-436761151.67905444</v>
      </c>
      <c r="BP86" s="39">
        <f t="shared" si="170"/>
        <v>-410812161.51208502</v>
      </c>
      <c r="BQ86" s="39">
        <f t="shared" si="171"/>
        <v>-384817548.73773354</v>
      </c>
      <c r="BR86" s="37">
        <f t="shared" si="172"/>
        <v>-358800000</v>
      </c>
      <c r="BT86" s="34"/>
      <c r="BU86" s="41">
        <v>6.0000000000000005E-2</v>
      </c>
      <c r="BV86" s="37">
        <f t="shared" si="173"/>
        <v>0.40647187995004946</v>
      </c>
      <c r="BW86" s="39">
        <f t="shared" si="174"/>
        <v>0.40647187995004946</v>
      </c>
      <c r="BX86" s="39">
        <f t="shared" si="175"/>
        <v>0.40647187995004946</v>
      </c>
      <c r="BY86" s="39">
        <f t="shared" si="176"/>
        <v>0.40647187995004946</v>
      </c>
      <c r="BZ86" s="39">
        <f t="shared" si="177"/>
        <v>0.40647187995004946</v>
      </c>
      <c r="CA86" s="39">
        <f t="shared" si="178"/>
        <v>0.40647187995004946</v>
      </c>
      <c r="CB86" s="39">
        <f t="shared" si="179"/>
        <v>0.40647187995004946</v>
      </c>
      <c r="CC86" s="39">
        <f t="shared" si="180"/>
        <v>0.40647187995004946</v>
      </c>
      <c r="CD86" s="39">
        <f t="shared" si="181"/>
        <v>0.40647187995004946</v>
      </c>
      <c r="CE86" s="39">
        <f t="shared" si="182"/>
        <v>0.40647187995004946</v>
      </c>
      <c r="CF86" s="39">
        <f t="shared" si="183"/>
        <v>0.40647187995004946</v>
      </c>
      <c r="CG86" s="39">
        <f t="shared" si="184"/>
        <v>0.40647187995004946</v>
      </c>
      <c r="CH86" s="39">
        <f t="shared" si="185"/>
        <v>0.40647187995004946</v>
      </c>
      <c r="CI86" s="39">
        <f t="shared" si="186"/>
        <v>0.40647187995004946</v>
      </c>
      <c r="CJ86" s="39">
        <f t="shared" si="187"/>
        <v>0.40647187995004946</v>
      </c>
      <c r="CK86" s="39">
        <f t="shared" si="188"/>
        <v>0.40647187995004946</v>
      </c>
      <c r="CL86" s="39">
        <f t="shared" si="189"/>
        <v>0.40647187995004946</v>
      </c>
      <c r="CM86" s="39">
        <f t="shared" si="190"/>
        <v>0.40647187995004946</v>
      </c>
      <c r="CN86" s="39">
        <f t="shared" si="191"/>
        <v>0.40647187995004946</v>
      </c>
      <c r="CO86" s="39">
        <f t="shared" si="192"/>
        <v>0.40647187995004946</v>
      </c>
      <c r="CP86" s="39">
        <f t="shared" si="193"/>
        <v>0.40647187995004946</v>
      </c>
      <c r="CQ86" s="39">
        <f t="shared" si="194"/>
        <v>0.40647187995004946</v>
      </c>
      <c r="CR86" s="39">
        <f t="shared" si="195"/>
        <v>0.40647187995004946</v>
      </c>
      <c r="CS86" s="39">
        <f t="shared" si="196"/>
        <v>0.40647187995004946</v>
      </c>
      <c r="CT86" s="39">
        <f t="shared" si="197"/>
        <v>0.40647187995004946</v>
      </c>
      <c r="CU86" s="39">
        <f t="shared" si="198"/>
        <v>0.40647187995004946</v>
      </c>
      <c r="CV86" s="39">
        <f t="shared" si="199"/>
        <v>0.40647187995004946</v>
      </c>
      <c r="CW86" s="39">
        <f t="shared" si="200"/>
        <v>0.40647187995004946</v>
      </c>
      <c r="CX86" s="39">
        <f t="shared" si="201"/>
        <v>0.40647187995004946</v>
      </c>
      <c r="CY86" s="39">
        <f t="shared" si="202"/>
        <v>0.40647187995004946</v>
      </c>
      <c r="CZ86" s="37">
        <f t="shared" si="203"/>
        <v>0.40647187995004946</v>
      </c>
      <c r="DB86" s="34"/>
      <c r="DC86" s="41">
        <v>6.0000000000000005E-2</v>
      </c>
      <c r="DD86" s="37">
        <f t="shared" si="204"/>
        <v>178.05843601498518</v>
      </c>
      <c r="DE86" s="39">
        <f t="shared" si="205"/>
        <v>174.44862683403559</v>
      </c>
      <c r="DF86" s="39">
        <f t="shared" si="206"/>
        <v>170.83500796724928</v>
      </c>
      <c r="DG86" s="39">
        <f t="shared" si="207"/>
        <v>167.213811792152</v>
      </c>
      <c r="DH86" s="39">
        <f t="shared" si="208"/>
        <v>163.58135433792378</v>
      </c>
      <c r="DI86" s="39">
        <f t="shared" si="209"/>
        <v>159.93407592938192</v>
      </c>
      <c r="DJ86" s="39">
        <f t="shared" si="210"/>
        <v>156.2685804289917</v>
      </c>
      <c r="DK86" s="39">
        <f t="shared" si="211"/>
        <v>152.58167263637614</v>
      </c>
      <c r="DL86" s="39">
        <f t="shared" si="212"/>
        <v>148.87039342722076</v>
      </c>
      <c r="DM86" s="39">
        <f t="shared" si="213"/>
        <v>145.13205224084331</v>
      </c>
      <c r="DN86" s="39">
        <f t="shared" si="214"/>
        <v>141.36425655760152</v>
      </c>
      <c r="DO86" s="39">
        <f t="shared" si="215"/>
        <v>137.56493804327044</v>
      </c>
      <c r="DP86" s="39">
        <f t="shared" si="216"/>
        <v>133.73237507700657</v>
      </c>
      <c r="DQ86" s="39">
        <f t="shared" si="217"/>
        <v>129.86521142196764</v>
      </c>
      <c r="DR86" s="39">
        <f t="shared" si="218"/>
        <v>125.96247084248301</v>
      </c>
      <c r="DS86" s="39">
        <f t="shared" si="219"/>
        <v>122.023567518269</v>
      </c>
      <c r="DT86" s="39">
        <f t="shared" si="220"/>
        <v>118.04831215394712</v>
      </c>
      <c r="DU86" s="39">
        <f t="shared" si="221"/>
        <v>114.03691373045956</v>
      </c>
      <c r="DV86" s="39">
        <f t="shared" si="222"/>
        <v>109.98997689330096</v>
      </c>
      <c r="DW86" s="39">
        <f t="shared" si="223"/>
        <v>105.90849502024842</v>
      </c>
      <c r="DX86" s="39">
        <f t="shared" si="224"/>
        <v>101.7938390579545</v>
      </c>
      <c r="DY86" s="39">
        <f t="shared" si="225"/>
        <v>97.647742261887515</v>
      </c>
      <c r="DZ86" s="39">
        <f t="shared" si="226"/>
        <v>93.472281017222684</v>
      </c>
      <c r="EA86" s="39">
        <f t="shared" si="227"/>
        <v>89.269851959012072</v>
      </c>
      <c r="EB86" s="39">
        <f t="shared" si="228"/>
        <v>85.043145647943732</v>
      </c>
      <c r="EC86" s="39">
        <f t="shared" si="229"/>
        <v>80.79511709293277</v>
      </c>
      <c r="ED86" s="39">
        <f t="shared" si="230"/>
        <v>76.528953443413698</v>
      </c>
      <c r="EE86" s="39">
        <f t="shared" si="231"/>
        <v>72.248039202299921</v>
      </c>
      <c r="EF86" s="39">
        <f t="shared" si="232"/>
        <v>67.955919334962729</v>
      </c>
      <c r="EG86" s="39">
        <f t="shared" si="233"/>
        <v>63.656260670109766</v>
      </c>
      <c r="EH86" s="37">
        <f t="shared" si="234"/>
        <v>59.352812004995052</v>
      </c>
    </row>
    <row r="87" spans="5:138" x14ac:dyDescent="0.25">
      <c r="E87" s="32"/>
      <c r="F87" s="41">
        <v>5.6666666666666671E-2</v>
      </c>
      <c r="G87" s="50">
        <f t="shared" si="139"/>
        <v>300</v>
      </c>
      <c r="H87" s="51">
        <f t="shared" si="235"/>
        <v>293.91773077745063</v>
      </c>
      <c r="I87" s="51">
        <f t="shared" si="236"/>
        <v>287.82904642215647</v>
      </c>
      <c r="J87" s="51">
        <f t="shared" si="237"/>
        <v>281.72760262796243</v>
      </c>
      <c r="K87" s="51">
        <f t="shared" si="238"/>
        <v>275.60719594213612</v>
      </c>
      <c r="L87" s="51">
        <f t="shared" si="239"/>
        <v>269.46183220250276</v>
      </c>
      <c r="M87" s="51">
        <f t="shared" si="240"/>
        <v>263.285792614407</v>
      </c>
      <c r="N87" s="51">
        <f t="shared" si="241"/>
        <v>257.07369672585378</v>
      </c>
      <c r="O87" s="51">
        <f t="shared" si="242"/>
        <v>250.82056159690498</v>
      </c>
      <c r="P87" s="51">
        <f t="shared" si="243"/>
        <v>244.52185650546312</v>
      </c>
      <c r="Q87" s="51">
        <f t="shared" si="244"/>
        <v>238.17355258524719</v>
      </c>
      <c r="R87" s="51">
        <f t="shared" si="245"/>
        <v>231.7721668522708</v>
      </c>
      <c r="S87" s="51">
        <f t="shared" si="246"/>
        <v>225.31480014257539</v>
      </c>
      <c r="T87" s="51">
        <f t="shared" si="247"/>
        <v>218.7991685554104</v>
      </c>
      <c r="U87" s="51">
        <f t="shared" si="248"/>
        <v>212.22362807149503</v>
      </c>
      <c r="V87" s="51">
        <f t="shared" si="249"/>
        <v>205.58719209443063</v>
      </c>
      <c r="W87" s="51">
        <f t="shared" si="250"/>
        <v>198.88954174373606</v>
      </c>
      <c r="X87" s="51">
        <f t="shared" si="251"/>
        <v>192.13102880935503</v>
      </c>
      <c r="Y87" s="51">
        <f t="shared" si="252"/>
        <v>185.31267135884877</v>
      </c>
      <c r="Z87" s="51">
        <f t="shared" si="253"/>
        <v>178.43614206892047</v>
      </c>
      <c r="AA87" s="51">
        <f t="shared" si="254"/>
        <v>171.50374943153673</v>
      </c>
      <c r="AB87" s="51">
        <f t="shared" si="255"/>
        <v>164.51841206091183</v>
      </c>
      <c r="AC87" s="51">
        <f t="shared" si="256"/>
        <v>157.48362640025795</v>
      </c>
      <c r="AD87" s="51">
        <f t="shared" si="257"/>
        <v>150.40342819581792</v>
      </c>
      <c r="AE87" s="51">
        <f t="shared" si="258"/>
        <v>143.28234816969888</v>
      </c>
      <c r="AF87" s="51">
        <f t="shared" si="259"/>
        <v>136.12536238189443</v>
      </c>
      <c r="AG87" s="51">
        <f t="shared" si="260"/>
        <v>128.93783782518696</v>
      </c>
      <c r="AH87" s="51">
        <f t="shared" si="261"/>
        <v>121.72547384398194</v>
      </c>
      <c r="AI87" s="51">
        <f t="shared" si="262"/>
        <v>114.49424000923611</v>
      </c>
      <c r="AJ87" s="51">
        <f t="shared" si="263"/>
        <v>107.25031111624969</v>
      </c>
      <c r="AK87" s="50">
        <f t="shared" si="141"/>
        <v>100</v>
      </c>
      <c r="AL87" s="21"/>
      <c r="AM87" s="41">
        <v>5.6666666666666671E-2</v>
      </c>
      <c r="AN87" s="37">
        <f t="shared" si="142"/>
        <v>-1076400000</v>
      </c>
      <c r="AO87" s="39">
        <f t="shared" si="143"/>
        <v>-1054576909.2790666</v>
      </c>
      <c r="AP87" s="39">
        <f t="shared" si="144"/>
        <v>-1032730800.0358038</v>
      </c>
      <c r="AQ87" s="39">
        <f t="shared" si="145"/>
        <v>-1010838907.8860788</v>
      </c>
      <c r="AR87" s="39">
        <f t="shared" si="146"/>
        <v>-988878973.85244274</v>
      </c>
      <c r="AS87" s="39">
        <f t="shared" si="147"/>
        <v>-966829489.92840731</v>
      </c>
      <c r="AT87" s="39">
        <f t="shared" si="148"/>
        <v>-944669936.17388165</v>
      </c>
      <c r="AU87" s="39">
        <f t="shared" si="149"/>
        <v>-922381006.68056798</v>
      </c>
      <c r="AV87" s="39">
        <f t="shared" si="150"/>
        <v>-899944821.88150263</v>
      </c>
      <c r="AW87" s="39">
        <f t="shared" si="151"/>
        <v>-877345124.84417176</v>
      </c>
      <c r="AX87" s="39">
        <f t="shared" si="152"/>
        <v>-854567459.37925029</v>
      </c>
      <c r="AY87" s="39">
        <f t="shared" si="153"/>
        <v>-831599328.01412368</v>
      </c>
      <c r="AZ87" s="39">
        <f t="shared" si="154"/>
        <v>-808430328.11876118</v>
      </c>
      <c r="BA87" s="39">
        <f t="shared" si="155"/>
        <v>-785052264.72787261</v>
      </c>
      <c r="BB87" s="39">
        <f t="shared" si="156"/>
        <v>-761459238.87397695</v>
      </c>
      <c r="BC87" s="39">
        <f t="shared" si="157"/>
        <v>-737647710.52746689</v>
      </c>
      <c r="BD87" s="39">
        <f t="shared" si="158"/>
        <v>-713616535.52825499</v>
      </c>
      <c r="BE87" s="39">
        <f t="shared" si="159"/>
        <v>-689366976.18558371</v>
      </c>
      <c r="BF87" s="39">
        <f t="shared" si="160"/>
        <v>-664902685.51453447</v>
      </c>
      <c r="BG87" s="39">
        <f t="shared" si="161"/>
        <v>-640229665.36637843</v>
      </c>
      <c r="BH87" s="39">
        <f t="shared" si="162"/>
        <v>-615356198.99199796</v>
      </c>
      <c r="BI87" s="39">
        <f t="shared" si="163"/>
        <v>-590292758.8503145</v>
      </c>
      <c r="BJ87" s="39">
        <f t="shared" si="164"/>
        <v>-565051890.73427474</v>
      </c>
      <c r="BK87" s="39">
        <f t="shared" si="165"/>
        <v>-539648075.53314054</v>
      </c>
      <c r="BL87" s="39">
        <f t="shared" si="166"/>
        <v>-514097570.17946088</v>
      </c>
      <c r="BM87" s="39">
        <f t="shared" si="167"/>
        <v>-488418229.54032487</v>
      </c>
      <c r="BN87" s="39">
        <f t="shared" si="168"/>
        <v>-462629311.20374435</v>
      </c>
      <c r="BO87" s="39">
        <f t="shared" si="169"/>
        <v>-436751265.28094065</v>
      </c>
      <c r="BP87" s="39">
        <f t="shared" si="170"/>
        <v>-410805511.49280262</v>
      </c>
      <c r="BQ87" s="39">
        <f t="shared" si="171"/>
        <v>-384814205.93295491</v>
      </c>
      <c r="BR87" s="37">
        <f t="shared" si="172"/>
        <v>-358800000</v>
      </c>
      <c r="BT87" s="34"/>
      <c r="BU87" s="41">
        <v>5.6666666666666671E-2</v>
      </c>
      <c r="BV87" s="37">
        <f t="shared" si="173"/>
        <v>0.40647187995008499</v>
      </c>
      <c r="BW87" s="39">
        <f t="shared" si="174"/>
        <v>0.40647187995008499</v>
      </c>
      <c r="BX87" s="39">
        <f t="shared" si="175"/>
        <v>0.40647187995008499</v>
      </c>
      <c r="BY87" s="39">
        <f t="shared" si="176"/>
        <v>0.40647187995008499</v>
      </c>
      <c r="BZ87" s="39">
        <f t="shared" si="177"/>
        <v>0.40647187995008499</v>
      </c>
      <c r="CA87" s="39">
        <f t="shared" si="178"/>
        <v>0.40647187995008499</v>
      </c>
      <c r="CB87" s="39">
        <f t="shared" si="179"/>
        <v>0.40647187995008499</v>
      </c>
      <c r="CC87" s="39">
        <f t="shared" si="180"/>
        <v>0.40647187995008499</v>
      </c>
      <c r="CD87" s="39">
        <f t="shared" si="181"/>
        <v>0.40647187995008499</v>
      </c>
      <c r="CE87" s="39">
        <f t="shared" si="182"/>
        <v>0.40647187995008499</v>
      </c>
      <c r="CF87" s="39">
        <f t="shared" si="183"/>
        <v>0.40647187995008499</v>
      </c>
      <c r="CG87" s="39">
        <f t="shared" si="184"/>
        <v>0.40647187995008499</v>
      </c>
      <c r="CH87" s="39">
        <f t="shared" si="185"/>
        <v>0.40647187995008499</v>
      </c>
      <c r="CI87" s="39">
        <f t="shared" si="186"/>
        <v>0.40647187995008499</v>
      </c>
      <c r="CJ87" s="39">
        <f t="shared" si="187"/>
        <v>0.40647187995008499</v>
      </c>
      <c r="CK87" s="39">
        <f t="shared" si="188"/>
        <v>0.40647187995008499</v>
      </c>
      <c r="CL87" s="39">
        <f t="shared" si="189"/>
        <v>0.40647187995008499</v>
      </c>
      <c r="CM87" s="39">
        <f t="shared" si="190"/>
        <v>0.40647187995008499</v>
      </c>
      <c r="CN87" s="39">
        <f t="shared" si="191"/>
        <v>0.40647187995008499</v>
      </c>
      <c r="CO87" s="39">
        <f t="shared" si="192"/>
        <v>0.40647187995008499</v>
      </c>
      <c r="CP87" s="39">
        <f t="shared" si="193"/>
        <v>0.40647187995008499</v>
      </c>
      <c r="CQ87" s="39">
        <f t="shared" si="194"/>
        <v>0.40647187995008499</v>
      </c>
      <c r="CR87" s="39">
        <f t="shared" si="195"/>
        <v>0.40647187995008499</v>
      </c>
      <c r="CS87" s="39">
        <f t="shared" si="196"/>
        <v>0.40647187995008499</v>
      </c>
      <c r="CT87" s="39">
        <f t="shared" si="197"/>
        <v>0.40647187995008499</v>
      </c>
      <c r="CU87" s="39">
        <f t="shared" si="198"/>
        <v>0.40647187995008499</v>
      </c>
      <c r="CV87" s="39">
        <f t="shared" si="199"/>
        <v>0.40647187995008499</v>
      </c>
      <c r="CW87" s="39">
        <f t="shared" si="200"/>
        <v>0.40647187995008499</v>
      </c>
      <c r="CX87" s="39">
        <f t="shared" si="201"/>
        <v>0.40647187995008499</v>
      </c>
      <c r="CY87" s="39">
        <f t="shared" si="202"/>
        <v>0.40647187995008499</v>
      </c>
      <c r="CZ87" s="37">
        <f t="shared" si="203"/>
        <v>0.40647187995008499</v>
      </c>
      <c r="DB87" s="34"/>
      <c r="DC87" s="41">
        <v>5.6666666666666671E-2</v>
      </c>
      <c r="DD87" s="37">
        <f t="shared" si="204"/>
        <v>178.05843601497452</v>
      </c>
      <c r="DE87" s="39">
        <f t="shared" si="205"/>
        <v>174.44805750342709</v>
      </c>
      <c r="DF87" s="39">
        <f t="shared" si="206"/>
        <v>170.83387571732925</v>
      </c>
      <c r="DG87" s="39">
        <f t="shared" si="207"/>
        <v>167.21212936763956</v>
      </c>
      <c r="DH87" s="39">
        <f t="shared" si="208"/>
        <v>163.57914066245183</v>
      </c>
      <c r="DI87" s="39">
        <f t="shared" si="209"/>
        <v>159.93135587666029</v>
      </c>
      <c r="DJ87" s="39">
        <f t="shared" si="210"/>
        <v>156.26538452310604</v>
      </c>
      <c r="DK87" s="39">
        <f t="shared" si="211"/>
        <v>152.57803668570074</v>
      </c>
      <c r="DL87" s="39">
        <f t="shared" si="212"/>
        <v>148.86635809734764</v>
      </c>
      <c r="DM87" s="39">
        <f t="shared" si="213"/>
        <v>145.12766257273259</v>
      </c>
      <c r="DN87" s="39">
        <f t="shared" si="214"/>
        <v>141.35956143782488</v>
      </c>
      <c r="DO87" s="39">
        <f t="shared" si="215"/>
        <v>137.55998963374208</v>
      </c>
      <c r="DP87" s="39">
        <f t="shared" si="216"/>
        <v>133.72722821196638</v>
      </c>
      <c r="DQ87" s="39">
        <f t="shared" si="217"/>
        <v>129.85992298020136</v>
      </c>
      <c r="DR87" s="39">
        <f t="shared" si="218"/>
        <v>125.95709910283493</v>
      </c>
      <c r="DS87" s="39">
        <f t="shared" si="219"/>
        <v>122.01817150643562</v>
      </c>
      <c r="DT87" s="39">
        <f t="shared" si="220"/>
        <v>118.04295098834409</v>
      </c>
      <c r="DU87" s="39">
        <f t="shared" si="221"/>
        <v>114.03164597464701</v>
      </c>
      <c r="DV87" s="39">
        <f t="shared" si="222"/>
        <v>109.98485992204805</v>
      </c>
      <c r="DW87" s="39">
        <f t="shared" si="223"/>
        <v>105.90358440583934</v>
      </c>
      <c r="DX87" s="39">
        <f t="shared" si="224"/>
        <v>101.78918798280152</v>
      </c>
      <c r="DY87" s="39">
        <f t="shared" si="225"/>
        <v>97.643400962943801</v>
      </c>
      <c r="DZ87" s="39">
        <f t="shared" si="226"/>
        <v>93.468296267095525</v>
      </c>
      <c r="EA87" s="39">
        <f t="shared" si="227"/>
        <v>89.266266588084235</v>
      </c>
      <c r="EB87" s="39">
        <f t="shared" si="228"/>
        <v>85.039998111229679</v>
      </c>
      <c r="EC87" s="39">
        <f t="shared" si="229"/>
        <v>80.792441084841883</v>
      </c>
      <c r="ED87" s="39">
        <f t="shared" si="230"/>
        <v>76.526777563069757</v>
      </c>
      <c r="EE87" s="39">
        <f t="shared" si="231"/>
        <v>72.246386671584233</v>
      </c>
      <c r="EF87" s="39">
        <f t="shared" si="232"/>
        <v>67.95480777100569</v>
      </c>
      <c r="EG87" s="39">
        <f t="shared" si="233"/>
        <v>63.655701913554687</v>
      </c>
      <c r="EH87" s="37">
        <f t="shared" si="234"/>
        <v>59.352812004991506</v>
      </c>
    </row>
    <row r="88" spans="5:138" x14ac:dyDescent="0.25">
      <c r="E88" s="32"/>
      <c r="F88" s="41">
        <v>5.3333333333333337E-2</v>
      </c>
      <c r="G88" s="50">
        <f t="shared" si="139"/>
        <v>300</v>
      </c>
      <c r="H88" s="51">
        <f t="shared" si="235"/>
        <v>293.91677215448101</v>
      </c>
      <c r="I88" s="51">
        <f t="shared" si="236"/>
        <v>287.82713997122187</v>
      </c>
      <c r="J88" s="51">
        <f t="shared" si="237"/>
        <v>281.72476980799206</v>
      </c>
      <c r="K88" s="51">
        <f t="shared" si="238"/>
        <v>275.60346861582423</v>
      </c>
      <c r="L88" s="51">
        <f t="shared" si="239"/>
        <v>269.45725225102103</v>
      </c>
      <c r="M88" s="51">
        <f t="shared" si="240"/>
        <v>263.28041143280359</v>
      </c>
      <c r="N88" s="51">
        <f t="shared" si="241"/>
        <v>257.06757460667762</v>
      </c>
      <c r="O88" s="51">
        <f t="shared" si="242"/>
        <v>250.81376701115045</v>
      </c>
      <c r="P88" s="51">
        <f t="shared" si="243"/>
        <v>244.51446529128083</v>
      </c>
      <c r="Q88" s="51">
        <f t="shared" si="244"/>
        <v>238.16564705599006</v>
      </c>
      <c r="R88" s="51">
        <f t="shared" si="245"/>
        <v>231.76383483632458</v>
      </c>
      <c r="S88" s="51">
        <f t="shared" si="246"/>
        <v>225.30613396804546</v>
      </c>
      <c r="T88" s="51">
        <f t="shared" si="247"/>
        <v>218.79026399310811</v>
      </c>
      <c r="U88" s="51">
        <f t="shared" si="248"/>
        <v>212.21458324978647</v>
      </c>
      <c r="V88" s="51">
        <f t="shared" si="249"/>
        <v>205.57810639939675</v>
      </c>
      <c r="W88" s="51">
        <f t="shared" si="250"/>
        <v>198.8805147177651</v>
      </c>
      <c r="X88" s="51">
        <f t="shared" si="251"/>
        <v>192.12215906076912</v>
      </c>
      <c r="Y88" s="51">
        <f t="shared" si="252"/>
        <v>185.30405549448795</v>
      </c>
      <c r="Z88" s="51">
        <f t="shared" si="253"/>
        <v>178.4278736608008</v>
      </c>
      <c r="AA88" s="51">
        <f t="shared" si="254"/>
        <v>171.49591802779705</v>
      </c>
      <c r="AB88" s="51">
        <f t="shared" si="255"/>
        <v>164.51110225029751</v>
      </c>
      <c r="AC88" s="51">
        <f t="shared" si="256"/>
        <v>157.47691693839579</v>
      </c>
      <c r="AD88" s="51">
        <f t="shared" si="257"/>
        <v>150.39739120053602</v>
      </c>
      <c r="AE88" s="51">
        <f t="shared" si="258"/>
        <v>143.27704839166887</v>
      </c>
      <c r="AF88" s="51">
        <f t="shared" si="259"/>
        <v>136.12085655593813</v>
      </c>
      <c r="AG88" s="51">
        <f t="shared" si="260"/>
        <v>128.93417410671083</v>
      </c>
      <c r="AH88" s="51">
        <f t="shared" si="261"/>
        <v>121.72269133418949</v>
      </c>
      <c r="AI88" s="51">
        <f t="shared" si="262"/>
        <v>114.49236837202474</v>
      </c>
      <c r="AJ88" s="51">
        <f t="shared" si="263"/>
        <v>107.24937028902148</v>
      </c>
      <c r="AK88" s="50">
        <f t="shared" si="141"/>
        <v>100</v>
      </c>
      <c r="AL88" s="21"/>
      <c r="AM88" s="41">
        <v>5.3333333333333337E-2</v>
      </c>
      <c r="AN88" s="37">
        <f t="shared" si="142"/>
        <v>-1076400000</v>
      </c>
      <c r="AO88" s="39">
        <f t="shared" si="143"/>
        <v>-1054573423.0812366</v>
      </c>
      <c r="AP88" s="39">
        <f t="shared" si="144"/>
        <v>-1032723866.8981231</v>
      </c>
      <c r="AQ88" s="39">
        <f t="shared" si="145"/>
        <v>-1010828605.8478079</v>
      </c>
      <c r="AR88" s="39">
        <f t="shared" si="146"/>
        <v>-988865418.78799701</v>
      </c>
      <c r="AS88" s="39">
        <f t="shared" si="147"/>
        <v>-966812834.14618134</v>
      </c>
      <c r="AT88" s="39">
        <f t="shared" si="148"/>
        <v>-944650366.58116329</v>
      </c>
      <c r="AU88" s="39">
        <f t="shared" si="149"/>
        <v>-922358742.54196429</v>
      </c>
      <c r="AV88" s="39">
        <f t="shared" si="150"/>
        <v>-899920112.20394981</v>
      </c>
      <c r="AW88" s="39">
        <f t="shared" si="151"/>
        <v>-877318245.42652059</v>
      </c>
      <c r="AX88" s="39">
        <f t="shared" si="152"/>
        <v>-854538709.56850171</v>
      </c>
      <c r="AY88" s="39">
        <f t="shared" si="153"/>
        <v>-831569027.21358609</v>
      </c>
      <c r="AZ88" s="39">
        <f t="shared" si="154"/>
        <v>-808398812.09567225</v>
      </c>
      <c r="BA88" s="39">
        <f t="shared" si="155"/>
        <v>-785019881.76937139</v>
      </c>
      <c r="BB88" s="39">
        <f t="shared" si="156"/>
        <v>-761426345.84075367</v>
      </c>
      <c r="BC88" s="39">
        <f t="shared" si="157"/>
        <v>-737614668.85399902</v>
      </c>
      <c r="BD88" s="39">
        <f t="shared" si="158"/>
        <v>-713583707.21734667</v>
      </c>
      <c r="BE88" s="39">
        <f t="shared" si="159"/>
        <v>-689334719.84303784</v>
      </c>
      <c r="BF88" s="39">
        <f t="shared" si="160"/>
        <v>-664871352.46731806</v>
      </c>
      <c r="BG88" s="39">
        <f t="shared" si="161"/>
        <v>-640199595.90470874</v>
      </c>
      <c r="BH88" s="39">
        <f t="shared" si="162"/>
        <v>-615327718.77249646</v>
      </c>
      <c r="BI88" s="39">
        <f t="shared" si="163"/>
        <v>-590266175.49386024</v>
      </c>
      <c r="BJ88" s="39">
        <f t="shared" si="164"/>
        <v>-565027490.64857483</v>
      </c>
      <c r="BK88" s="39">
        <f t="shared" si="165"/>
        <v>-539626120.98639679</v>
      </c>
      <c r="BL88" s="39">
        <f t="shared" si="166"/>
        <v>-514078296.64795917</v>
      </c>
      <c r="BM88" s="39">
        <f t="shared" si="167"/>
        <v>-488401843.34937477</v>
      </c>
      <c r="BN88" s="39">
        <f t="shared" si="168"/>
        <v>-462615987.47819966</v>
      </c>
      <c r="BO88" s="39">
        <f t="shared" si="169"/>
        <v>-436741146.21857381</v>
      </c>
      <c r="BP88" s="39">
        <f t="shared" si="170"/>
        <v>-410798704.97110218</v>
      </c>
      <c r="BQ88" s="39">
        <f t="shared" si="171"/>
        <v>-384810784.45745349</v>
      </c>
      <c r="BR88" s="37">
        <f t="shared" si="172"/>
        <v>-358800000</v>
      </c>
      <c r="BT88" s="34"/>
      <c r="BU88" s="41">
        <v>5.3333333333333337E-2</v>
      </c>
      <c r="BV88" s="37">
        <f t="shared" si="173"/>
        <v>0.40647187995029982</v>
      </c>
      <c r="BW88" s="39">
        <f t="shared" si="174"/>
        <v>0.40647187995029982</v>
      </c>
      <c r="BX88" s="39">
        <f t="shared" si="175"/>
        <v>0.40647187995029982</v>
      </c>
      <c r="BY88" s="39">
        <f t="shared" si="176"/>
        <v>0.40647187995029982</v>
      </c>
      <c r="BZ88" s="39">
        <f t="shared" si="177"/>
        <v>0.40647187995029982</v>
      </c>
      <c r="CA88" s="39">
        <f t="shared" si="178"/>
        <v>0.40647187995029982</v>
      </c>
      <c r="CB88" s="39">
        <f t="shared" si="179"/>
        <v>0.40647187995029982</v>
      </c>
      <c r="CC88" s="39">
        <f t="shared" si="180"/>
        <v>0.40647187995029982</v>
      </c>
      <c r="CD88" s="39">
        <f t="shared" si="181"/>
        <v>0.40647187995029982</v>
      </c>
      <c r="CE88" s="39">
        <f t="shared" si="182"/>
        <v>0.40647187995029982</v>
      </c>
      <c r="CF88" s="39">
        <f t="shared" si="183"/>
        <v>0.40647187995029982</v>
      </c>
      <c r="CG88" s="39">
        <f t="shared" si="184"/>
        <v>0.40647187995029982</v>
      </c>
      <c r="CH88" s="39">
        <f t="shared" si="185"/>
        <v>0.40647187995029982</v>
      </c>
      <c r="CI88" s="39">
        <f t="shared" si="186"/>
        <v>0.40647187995029982</v>
      </c>
      <c r="CJ88" s="39">
        <f t="shared" si="187"/>
        <v>0.40647187995029982</v>
      </c>
      <c r="CK88" s="39">
        <f t="shared" si="188"/>
        <v>0.40647187995029982</v>
      </c>
      <c r="CL88" s="39">
        <f t="shared" si="189"/>
        <v>0.40647187995029982</v>
      </c>
      <c r="CM88" s="39">
        <f t="shared" si="190"/>
        <v>0.40647187995029982</v>
      </c>
      <c r="CN88" s="39">
        <f t="shared" si="191"/>
        <v>0.40647187995029982</v>
      </c>
      <c r="CO88" s="39">
        <f t="shared" si="192"/>
        <v>0.40647187995029982</v>
      </c>
      <c r="CP88" s="39">
        <f t="shared" si="193"/>
        <v>0.40647187995029982</v>
      </c>
      <c r="CQ88" s="39">
        <f t="shared" si="194"/>
        <v>0.40647187995029982</v>
      </c>
      <c r="CR88" s="39">
        <f t="shared" si="195"/>
        <v>0.40647187995029982</v>
      </c>
      <c r="CS88" s="39">
        <f t="shared" si="196"/>
        <v>0.40647187995029982</v>
      </c>
      <c r="CT88" s="39">
        <f t="shared" si="197"/>
        <v>0.40647187995029982</v>
      </c>
      <c r="CU88" s="39">
        <f t="shared" si="198"/>
        <v>0.40647187995029982</v>
      </c>
      <c r="CV88" s="39">
        <f t="shared" si="199"/>
        <v>0.40647187995029982</v>
      </c>
      <c r="CW88" s="39">
        <f t="shared" si="200"/>
        <v>0.40647187995029982</v>
      </c>
      <c r="CX88" s="39">
        <f t="shared" si="201"/>
        <v>0.40647187995029982</v>
      </c>
      <c r="CY88" s="39">
        <f t="shared" si="202"/>
        <v>0.40647187995029982</v>
      </c>
      <c r="CZ88" s="37">
        <f t="shared" si="203"/>
        <v>0.40647187995029982</v>
      </c>
      <c r="DB88" s="34"/>
      <c r="DC88" s="41">
        <v>5.3333333333333337E-2</v>
      </c>
      <c r="DD88" s="37">
        <f t="shared" si="204"/>
        <v>178.05843601491006</v>
      </c>
      <c r="DE88" s="39">
        <f t="shared" si="205"/>
        <v>174.44747957464457</v>
      </c>
      <c r="DF88" s="39">
        <f t="shared" si="206"/>
        <v>170.83272636770582</v>
      </c>
      <c r="DG88" s="39">
        <f t="shared" si="207"/>
        <v>167.21042153391318</v>
      </c>
      <c r="DH88" s="39">
        <f t="shared" si="208"/>
        <v>163.57689355339352</v>
      </c>
      <c r="DI88" s="39">
        <f t="shared" si="209"/>
        <v>159.92859474081749</v>
      </c>
      <c r="DJ88" s="39">
        <f t="shared" si="210"/>
        <v>156.26214034462083</v>
      </c>
      <c r="DK88" s="39">
        <f t="shared" si="211"/>
        <v>152.5743458127466</v>
      </c>
      <c r="DL88" s="39">
        <f t="shared" si="212"/>
        <v>148.86226180866652</v>
      </c>
      <c r="DM88" s="39">
        <f t="shared" si="213"/>
        <v>145.12320658856777</v>
      </c>
      <c r="DN88" s="39">
        <f t="shared" si="214"/>
        <v>141.35479538222305</v>
      </c>
      <c r="DO88" s="39">
        <f t="shared" si="215"/>
        <v>137.55496645572751</v>
      </c>
      <c r="DP88" s="39">
        <f t="shared" si="216"/>
        <v>133.72200357346674</v>
      </c>
      <c r="DQ88" s="39">
        <f t="shared" si="217"/>
        <v>129.85455461882793</v>
      </c>
      <c r="DR88" s="39">
        <f t="shared" si="218"/>
        <v>125.95164617769267</v>
      </c>
      <c r="DS88" s="39">
        <f t="shared" si="219"/>
        <v>122.0126939350701</v>
      </c>
      <c r="DT88" s="39">
        <f t="shared" si="220"/>
        <v>118.03750878273507</v>
      </c>
      <c r="DU88" s="39">
        <f t="shared" si="221"/>
        <v>114.02629858384537</v>
      </c>
      <c r="DV88" s="39">
        <f t="shared" si="222"/>
        <v>109.97966558864461</v>
      </c>
      <c r="DW88" s="39">
        <f t="shared" si="223"/>
        <v>105.89859954296793</v>
      </c>
      <c r="DX88" s="39">
        <f t="shared" si="224"/>
        <v>101.78446657783515</v>
      </c>
      <c r="DY88" s="39">
        <f t="shared" si="225"/>
        <v>97.638994013460604</v>
      </c>
      <c r="DZ88" s="39">
        <f t="shared" si="226"/>
        <v>93.464251254092261</v>
      </c>
      <c r="EA88" s="39">
        <f t="shared" si="227"/>
        <v>89.262626990811981</v>
      </c>
      <c r="EB88" s="39">
        <f t="shared" si="228"/>
        <v>85.036802967437964</v>
      </c>
      <c r="EC88" s="39">
        <f t="shared" si="229"/>
        <v>80.789724599653681</v>
      </c>
      <c r="ED88" s="39">
        <f t="shared" si="230"/>
        <v>76.524568769180206</v>
      </c>
      <c r="EE88" s="39">
        <f t="shared" si="231"/>
        <v>72.244709142985101</v>
      </c>
      <c r="EF88" s="39">
        <f t="shared" si="232"/>
        <v>67.953679391989709</v>
      </c>
      <c r="EG88" s="39">
        <f t="shared" si="233"/>
        <v>63.655134704344931</v>
      </c>
      <c r="EH88" s="37">
        <f t="shared" si="234"/>
        <v>59.352812004970019</v>
      </c>
    </row>
    <row r="89" spans="5:138" x14ac:dyDescent="0.25">
      <c r="E89" s="32"/>
      <c r="F89" s="41">
        <v>0.05</v>
      </c>
      <c r="G89" s="50">
        <f t="shared" si="139"/>
        <v>300</v>
      </c>
      <c r="H89" s="51">
        <f t="shared" si="235"/>
        <v>293.91580276074842</v>
      </c>
      <c r="I89" s="51">
        <f t="shared" si="236"/>
        <v>287.82521209966433</v>
      </c>
      <c r="J89" s="51">
        <f t="shared" si="237"/>
        <v>281.72190515789316</v>
      </c>
      <c r="K89" s="51">
        <f t="shared" si="238"/>
        <v>275.5996994068023</v>
      </c>
      <c r="L89" s="51">
        <f t="shared" si="239"/>
        <v>269.45262083347222</v>
      </c>
      <c r="M89" s="51">
        <f t="shared" si="240"/>
        <v>263.27496977770647</v>
      </c>
      <c r="N89" s="51">
        <f t="shared" si="241"/>
        <v>257.06138368237941</v>
      </c>
      <c r="O89" s="51">
        <f t="shared" si="242"/>
        <v>250.80689605632779</v>
      </c>
      <c r="P89" s="51">
        <f t="shared" si="243"/>
        <v>244.5069909946335</v>
      </c>
      <c r="Q89" s="51">
        <f t="shared" si="244"/>
        <v>238.15765265436352</v>
      </c>
      <c r="R89" s="51">
        <f t="shared" si="245"/>
        <v>231.75540914384368</v>
      </c>
      <c r="S89" s="51">
        <f t="shared" si="246"/>
        <v>225.29737034947556</v>
      </c>
      <c r="T89" s="51">
        <f t="shared" si="247"/>
        <v>218.78125929503301</v>
      </c>
      <c r="U89" s="51">
        <f t="shared" si="248"/>
        <v>212.20543670331466</v>
      </c>
      <c r="V89" s="51">
        <f t="shared" si="249"/>
        <v>205.56891850799482</v>
      </c>
      <c r="W89" s="51">
        <f t="shared" si="250"/>
        <v>198.87138614348359</v>
      </c>
      <c r="X89" s="51">
        <f t="shared" si="251"/>
        <v>192.11318952160391</v>
      </c>
      <c r="Y89" s="51">
        <f t="shared" si="252"/>
        <v>185.29534268493498</v>
      </c>
      <c r="Z89" s="51">
        <f t="shared" si="253"/>
        <v>178.41951220684649</v>
      </c>
      <c r="AA89" s="51">
        <f t="shared" si="254"/>
        <v>171.48799848667551</v>
      </c>
      <c r="AB89" s="51">
        <f t="shared" si="255"/>
        <v>164.50371016437091</v>
      </c>
      <c r="AC89" s="51">
        <f t="shared" si="256"/>
        <v>157.47013195150686</v>
      </c>
      <c r="AD89" s="51">
        <f t="shared" si="257"/>
        <v>150.39128624417356</v>
      </c>
      <c r="AE89" s="51">
        <f t="shared" si="258"/>
        <v>143.27168894729795</v>
      </c>
      <c r="AF89" s="51">
        <f t="shared" si="259"/>
        <v>136.11629999890241</v>
      </c>
      <c r="AG89" s="51">
        <f t="shared" si="260"/>
        <v>128.93046913622476</v>
      </c>
      <c r="AH89" s="51">
        <f t="shared" si="261"/>
        <v>121.71987749311637</v>
      </c>
      <c r="AI89" s="51">
        <f t="shared" si="262"/>
        <v>114.490475659384</v>
      </c>
      <c r="AJ89" s="51">
        <f t="shared" si="263"/>
        <v>107.24841886748302</v>
      </c>
      <c r="AK89" s="50">
        <f t="shared" si="141"/>
        <v>100</v>
      </c>
      <c r="AL89" s="21"/>
      <c r="AM89" s="41">
        <v>0.05</v>
      </c>
      <c r="AN89" s="37">
        <f t="shared" si="142"/>
        <v>-1076400000</v>
      </c>
      <c r="AO89" s="39">
        <f t="shared" si="143"/>
        <v>-1054569897.8008595</v>
      </c>
      <c r="AP89" s="39">
        <f t="shared" si="144"/>
        <v>-1032716856.0339962</v>
      </c>
      <c r="AQ89" s="39">
        <f t="shared" si="145"/>
        <v>-1010818188.3112226</v>
      </c>
      <c r="AR89" s="39">
        <f t="shared" si="146"/>
        <v>-988851711.74833417</v>
      </c>
      <c r="AS89" s="39">
        <f t="shared" si="147"/>
        <v>-966795991.61425126</v>
      </c>
      <c r="AT89" s="39">
        <f t="shared" si="148"/>
        <v>-944630577.55383277</v>
      </c>
      <c r="AU89" s="39">
        <f t="shared" si="149"/>
        <v>-922336228.73578119</v>
      </c>
      <c r="AV89" s="39">
        <f t="shared" si="150"/>
        <v>-899895125.41119862</v>
      </c>
      <c r="AW89" s="39">
        <f t="shared" si="151"/>
        <v>-877291064.5321039</v>
      </c>
      <c r="AX89" s="39">
        <f t="shared" si="152"/>
        <v>-854509637.27018058</v>
      </c>
      <c r="AY89" s="39">
        <f t="shared" si="153"/>
        <v>-831538386.49133861</v>
      </c>
      <c r="AZ89" s="39">
        <f t="shared" si="154"/>
        <v>-808366942.47823048</v>
      </c>
      <c r="BA89" s="39">
        <f t="shared" si="155"/>
        <v>-784987135.44735622</v>
      </c>
      <c r="BB89" s="39">
        <f t="shared" si="156"/>
        <v>-761393083.67627263</v>
      </c>
      <c r="BC89" s="39">
        <f t="shared" si="157"/>
        <v>-737581256.33615792</v>
      </c>
      <c r="BD89" s="39">
        <f t="shared" si="158"/>
        <v>-713550510.41191733</v>
      </c>
      <c r="BE89" s="39">
        <f t="shared" si="159"/>
        <v>-689302101.38262236</v>
      </c>
      <c r="BF89" s="39">
        <f t="shared" si="160"/>
        <v>-664839667.62586033</v>
      </c>
      <c r="BG89" s="39">
        <f t="shared" si="161"/>
        <v>-640169188.79723454</v>
      </c>
      <c r="BH89" s="39">
        <f t="shared" si="162"/>
        <v>-615298918.71765316</v>
      </c>
      <c r="BI89" s="39">
        <f t="shared" si="163"/>
        <v>-590239293.573282</v>
      </c>
      <c r="BJ89" s="39">
        <f t="shared" si="164"/>
        <v>-565002816.4934324</v>
      </c>
      <c r="BK89" s="39">
        <f t="shared" si="165"/>
        <v>-539603919.81782973</v>
      </c>
      <c r="BL89" s="39">
        <f t="shared" si="166"/>
        <v>-514058806.59448725</v>
      </c>
      <c r="BM89" s="39">
        <f t="shared" si="167"/>
        <v>-488385273.06095248</v>
      </c>
      <c r="BN89" s="39">
        <f t="shared" si="168"/>
        <v>-462602514.05334407</v>
      </c>
      <c r="BO89" s="39">
        <f t="shared" si="169"/>
        <v>-436730913.45800507</v>
      </c>
      <c r="BP89" s="39">
        <f t="shared" si="170"/>
        <v>-410791821.96860009</v>
      </c>
      <c r="BQ89" s="39">
        <f t="shared" si="171"/>
        <v>-384807324.53614157</v>
      </c>
      <c r="BR89" s="37">
        <f t="shared" si="172"/>
        <v>-358800000</v>
      </c>
      <c r="BT89" s="34"/>
      <c r="BU89" s="41">
        <v>0.05</v>
      </c>
      <c r="BV89" s="37">
        <f t="shared" si="173"/>
        <v>0.40647187995160011</v>
      </c>
      <c r="BW89" s="39">
        <f t="shared" si="174"/>
        <v>0.40647187995160011</v>
      </c>
      <c r="BX89" s="39">
        <f t="shared" si="175"/>
        <v>0.40647187995160011</v>
      </c>
      <c r="BY89" s="39">
        <f t="shared" si="176"/>
        <v>0.40647187995160011</v>
      </c>
      <c r="BZ89" s="39">
        <f t="shared" si="177"/>
        <v>0.40647187995160011</v>
      </c>
      <c r="CA89" s="39">
        <f t="shared" si="178"/>
        <v>0.40647187995160011</v>
      </c>
      <c r="CB89" s="39">
        <f t="shared" si="179"/>
        <v>0.40647187995160011</v>
      </c>
      <c r="CC89" s="39">
        <f t="shared" si="180"/>
        <v>0.40647187995160011</v>
      </c>
      <c r="CD89" s="39">
        <f t="shared" si="181"/>
        <v>0.40647187995160011</v>
      </c>
      <c r="CE89" s="39">
        <f t="shared" si="182"/>
        <v>0.40647187995160011</v>
      </c>
      <c r="CF89" s="39">
        <f t="shared" si="183"/>
        <v>0.40647187995160011</v>
      </c>
      <c r="CG89" s="39">
        <f t="shared" si="184"/>
        <v>0.40647187995160011</v>
      </c>
      <c r="CH89" s="39">
        <f t="shared" si="185"/>
        <v>0.40647187995160011</v>
      </c>
      <c r="CI89" s="39">
        <f t="shared" si="186"/>
        <v>0.40647187995160011</v>
      </c>
      <c r="CJ89" s="39">
        <f t="shared" si="187"/>
        <v>0.40647187995160011</v>
      </c>
      <c r="CK89" s="39">
        <f t="shared" si="188"/>
        <v>0.40647187995160011</v>
      </c>
      <c r="CL89" s="39">
        <f t="shared" si="189"/>
        <v>0.40647187995160011</v>
      </c>
      <c r="CM89" s="39">
        <f t="shared" si="190"/>
        <v>0.40647187995160011</v>
      </c>
      <c r="CN89" s="39">
        <f t="shared" si="191"/>
        <v>0.40647187995160011</v>
      </c>
      <c r="CO89" s="39">
        <f t="shared" si="192"/>
        <v>0.40647187995160011</v>
      </c>
      <c r="CP89" s="39">
        <f t="shared" si="193"/>
        <v>0.40647187995160011</v>
      </c>
      <c r="CQ89" s="39">
        <f t="shared" si="194"/>
        <v>0.40647187995160011</v>
      </c>
      <c r="CR89" s="39">
        <f t="shared" si="195"/>
        <v>0.40647187995160011</v>
      </c>
      <c r="CS89" s="39">
        <f t="shared" si="196"/>
        <v>0.40647187995160011</v>
      </c>
      <c r="CT89" s="39">
        <f t="shared" si="197"/>
        <v>0.40647187995160011</v>
      </c>
      <c r="CU89" s="39">
        <f t="shared" si="198"/>
        <v>0.40647187995160011</v>
      </c>
      <c r="CV89" s="39">
        <f t="shared" si="199"/>
        <v>0.40647187995160011</v>
      </c>
      <c r="CW89" s="39">
        <f t="shared" si="200"/>
        <v>0.40647187995160011</v>
      </c>
      <c r="CX89" s="39">
        <f t="shared" si="201"/>
        <v>0.40647187995160011</v>
      </c>
      <c r="CY89" s="39">
        <f t="shared" si="202"/>
        <v>0.40647187995160011</v>
      </c>
      <c r="CZ89" s="37">
        <f t="shared" si="203"/>
        <v>0.40647187995160011</v>
      </c>
      <c r="DB89" s="34"/>
      <c r="DC89" s="41">
        <v>0.05</v>
      </c>
      <c r="DD89" s="37">
        <f t="shared" si="204"/>
        <v>178.05843601451994</v>
      </c>
      <c r="DE89" s="39">
        <f t="shared" si="205"/>
        <v>174.44689983381042</v>
      </c>
      <c r="DF89" s="39">
        <f t="shared" si="206"/>
        <v>170.8315734144694</v>
      </c>
      <c r="DG89" s="39">
        <f t="shared" si="207"/>
        <v>167.20870834510683</v>
      </c>
      <c r="DH89" s="39">
        <f t="shared" si="208"/>
        <v>163.57463939734637</v>
      </c>
      <c r="DI89" s="39">
        <f t="shared" si="209"/>
        <v>159.92582494440714</v>
      </c>
      <c r="DJ89" s="39">
        <f t="shared" si="210"/>
        <v>156.25888598818406</v>
      </c>
      <c r="DK89" s="39">
        <f t="shared" si="211"/>
        <v>152.57064335740498</v>
      </c>
      <c r="DL89" s="39">
        <f t="shared" si="212"/>
        <v>148.85815266156283</v>
      </c>
      <c r="DM89" s="39">
        <f t="shared" si="213"/>
        <v>145.1187366123263</v>
      </c>
      <c r="DN89" s="39">
        <f t="shared" si="214"/>
        <v>141.35001435562597</v>
      </c>
      <c r="DO89" s="39">
        <f t="shared" si="215"/>
        <v>137.54992749313067</v>
      </c>
      <c r="DP89" s="39">
        <f t="shared" si="216"/>
        <v>133.71676251085705</v>
      </c>
      <c r="DQ89" s="39">
        <f t="shared" si="217"/>
        <v>129.84916937464746</v>
      </c>
      <c r="DR89" s="39">
        <f t="shared" si="218"/>
        <v>125.94617609662859</v>
      </c>
      <c r="DS89" s="39">
        <f t="shared" si="219"/>
        <v>122.00719912294196</v>
      </c>
      <c r="DT89" s="39">
        <f t="shared" si="220"/>
        <v>118.03204944041174</v>
      </c>
      <c r="DU89" s="39">
        <f t="shared" si="221"/>
        <v>114.02093434781274</v>
      </c>
      <c r="DV89" s="39">
        <f t="shared" si="222"/>
        <v>109.97445488543482</v>
      </c>
      <c r="DW89" s="39">
        <f t="shared" si="223"/>
        <v>105.8935989641742</v>
      </c>
      <c r="DX89" s="39">
        <f t="shared" si="224"/>
        <v>101.77973028189135</v>
      </c>
      <c r="DY89" s="39">
        <f t="shared" si="225"/>
        <v>97.634573159782576</v>
      </c>
      <c r="DZ89" s="39">
        <f t="shared" si="226"/>
        <v>93.460193474575149</v>
      </c>
      <c r="EA89" s="39">
        <f t="shared" si="227"/>
        <v>89.258975903075424</v>
      </c>
      <c r="EB89" s="39">
        <f t="shared" si="228"/>
        <v>85.033597733619928</v>
      </c>
      <c r="EC89" s="39">
        <f t="shared" si="229"/>
        <v>80.786999533988151</v>
      </c>
      <c r="ED89" s="39">
        <f t="shared" si="230"/>
        <v>76.522352997063081</v>
      </c>
      <c r="EE89" s="39">
        <f t="shared" si="231"/>
        <v>72.243026313740032</v>
      </c>
      <c r="EF89" s="39">
        <f t="shared" si="232"/>
        <v>67.952547447095995</v>
      </c>
      <c r="EG89" s="39">
        <f t="shared" si="233"/>
        <v>63.654565702479168</v>
      </c>
      <c r="EH89" s="37">
        <f t="shared" si="234"/>
        <v>59.352812004839983</v>
      </c>
    </row>
    <row r="90" spans="5:138" x14ac:dyDescent="0.25">
      <c r="E90" s="32"/>
      <c r="F90" s="41">
        <v>4.6666666666666669E-2</v>
      </c>
      <c r="G90" s="50">
        <f t="shared" si="139"/>
        <v>300</v>
      </c>
      <c r="H90" s="51">
        <f t="shared" si="235"/>
        <v>293.91483397201733</v>
      </c>
      <c r="I90" s="51">
        <f t="shared" si="236"/>
        <v>287.82328543090853</v>
      </c>
      <c r="J90" s="51">
        <f t="shared" si="237"/>
        <v>281.71904229409824</v>
      </c>
      <c r="K90" s="51">
        <f t="shared" si="238"/>
        <v>275.59593254639685</v>
      </c>
      <c r="L90" s="51">
        <f t="shared" si="239"/>
        <v>269.44799229907483</v>
      </c>
      <c r="M90" s="51">
        <f t="shared" si="240"/>
        <v>263.26953150632391</v>
      </c>
      <c r="N90" s="51">
        <f t="shared" si="241"/>
        <v>257.05519660266975</v>
      </c>
      <c r="O90" s="51">
        <f t="shared" si="242"/>
        <v>250.80002936211028</v>
      </c>
      <c r="P90" s="51">
        <f t="shared" si="243"/>
        <v>244.49952132519422</v>
      </c>
      <c r="Q90" s="51">
        <f t="shared" si="244"/>
        <v>238.14966319323844</v>
      </c>
      <c r="R90" s="51">
        <f t="shared" si="245"/>
        <v>231.74698864865081</v>
      </c>
      <c r="S90" s="51">
        <f t="shared" si="246"/>
        <v>225.28861212599941</v>
      </c>
      <c r="T90" s="51">
        <f t="shared" si="247"/>
        <v>218.77226012913715</v>
      </c>
      <c r="U90" s="51">
        <f t="shared" si="248"/>
        <v>212.19629576438399</v>
      </c>
      <c r="V90" s="51">
        <f t="shared" si="249"/>
        <v>205.55973623749327</v>
      </c>
      <c r="W90" s="51">
        <f t="shared" si="250"/>
        <v>198.86226314188372</v>
      </c>
      <c r="X90" s="51">
        <f t="shared" si="251"/>
        <v>192.10422544642245</v>
      </c>
      <c r="Y90" s="51">
        <f t="shared" si="252"/>
        <v>185.28663517192462</v>
      </c>
      <c r="Z90" s="51">
        <f t="shared" si="253"/>
        <v>178.41115582558078</v>
      </c>
      <c r="AA90" s="51">
        <f t="shared" si="254"/>
        <v>171.48008374085319</v>
      </c>
      <c r="AB90" s="51">
        <f t="shared" si="255"/>
        <v>164.49632254619337</v>
      </c>
      <c r="AC90" s="51">
        <f t="shared" si="256"/>
        <v>157.46335105847646</v>
      </c>
      <c r="AD90" s="51">
        <f t="shared" si="257"/>
        <v>150.38518496565285</v>
      </c>
      <c r="AE90" s="51">
        <f t="shared" si="258"/>
        <v>143.26633272718254</v>
      </c>
      <c r="AF90" s="51">
        <f t="shared" si="259"/>
        <v>136.11174617981584</v>
      </c>
      <c r="AG90" s="51">
        <f t="shared" si="260"/>
        <v>128.9267663897557</v>
      </c>
      <c r="AH90" s="51">
        <f t="shared" si="261"/>
        <v>121.71706533979606</v>
      </c>
      <c r="AI90" s="51">
        <f t="shared" si="262"/>
        <v>114.4885840813495</v>
      </c>
      <c r="AJ90" s="51">
        <f t="shared" si="263"/>
        <v>107.24746801608647</v>
      </c>
      <c r="AK90" s="50">
        <f t="shared" si="141"/>
        <v>100</v>
      </c>
      <c r="AL90" s="21"/>
      <c r="AM90" s="41">
        <v>4.6666666666666669E-2</v>
      </c>
      <c r="AN90" s="37">
        <f t="shared" si="142"/>
        <v>-1076400000</v>
      </c>
      <c r="AO90" s="39">
        <f t="shared" si="143"/>
        <v>-1054566374.8083447</v>
      </c>
      <c r="AP90" s="39">
        <f t="shared" si="144"/>
        <v>-1032709849.7183625</v>
      </c>
      <c r="AQ90" s="39">
        <f t="shared" si="145"/>
        <v>-1010807777.5296918</v>
      </c>
      <c r="AR90" s="39">
        <f t="shared" si="146"/>
        <v>-988838013.59015679</v>
      </c>
      <c r="AS90" s="39">
        <f t="shared" si="147"/>
        <v>-966779159.98519468</v>
      </c>
      <c r="AT90" s="39">
        <f t="shared" si="148"/>
        <v>-944610801.32229578</v>
      </c>
      <c r="AU90" s="39">
        <f t="shared" si="149"/>
        <v>-922313729.46822405</v>
      </c>
      <c r="AV90" s="39">
        <f t="shared" si="150"/>
        <v>-899870154.73027444</v>
      </c>
      <c r="AW90" s="39">
        <f t="shared" si="151"/>
        <v>-877263901.13585269</v>
      </c>
      <c r="AX90" s="39">
        <f t="shared" si="152"/>
        <v>-854480583.65476966</v>
      </c>
      <c r="AY90" s="39">
        <f t="shared" si="153"/>
        <v>-831507765.42306101</v>
      </c>
      <c r="AZ90" s="39">
        <f t="shared" si="154"/>
        <v>-808335093.26277685</v>
      </c>
      <c r="BA90" s="39">
        <f t="shared" si="155"/>
        <v>-784954410.0457294</v>
      </c>
      <c r="BB90" s="39">
        <f t="shared" si="156"/>
        <v>-761359842.71716726</v>
      </c>
      <c r="BC90" s="39">
        <f t="shared" si="157"/>
        <v>-737547865.07421148</v>
      </c>
      <c r="BD90" s="39">
        <f t="shared" si="158"/>
        <v>-713517334.68003917</v>
      </c>
      <c r="BE90" s="39">
        <f t="shared" si="159"/>
        <v>-689269503.58470833</v>
      </c>
      <c r="BF90" s="39">
        <f t="shared" si="160"/>
        <v>-664808002.81371176</v>
      </c>
      <c r="BG90" s="39">
        <f t="shared" si="161"/>
        <v>-640138800.87254715</v>
      </c>
      <c r="BH90" s="39">
        <f t="shared" si="162"/>
        <v>-615270136.79662621</v>
      </c>
      <c r="BI90" s="39">
        <f t="shared" si="163"/>
        <v>-590212428.54786217</v>
      </c>
      <c r="BJ90" s="39">
        <f t="shared" si="164"/>
        <v>-564978157.81955099</v>
      </c>
      <c r="BK90" s="39">
        <f t="shared" si="165"/>
        <v>-539581732.55732226</v>
      </c>
      <c r="BL90" s="39">
        <f t="shared" si="166"/>
        <v>-514039328.73380136</v>
      </c>
      <c r="BM90" s="39">
        <f t="shared" si="167"/>
        <v>-488368713.12630886</v>
      </c>
      <c r="BN90" s="39">
        <f t="shared" si="168"/>
        <v>-462589049.03879064</v>
      </c>
      <c r="BO90" s="39">
        <f t="shared" si="169"/>
        <v>-436720687.07981145</v>
      </c>
      <c r="BP90" s="39">
        <f t="shared" si="170"/>
        <v>-410784943.25670415</v>
      </c>
      <c r="BQ90" s="39">
        <f t="shared" si="171"/>
        <v>-384803866.77086794</v>
      </c>
      <c r="BR90" s="37">
        <f t="shared" si="172"/>
        <v>-358800000</v>
      </c>
      <c r="BT90" s="34"/>
      <c r="BU90" s="41">
        <v>4.6666666666666669E-2</v>
      </c>
      <c r="BV90" s="37">
        <f t="shared" si="173"/>
        <v>0.40647187995947059</v>
      </c>
      <c r="BW90" s="39">
        <f t="shared" si="174"/>
        <v>0.40647187995947059</v>
      </c>
      <c r="BX90" s="39">
        <f t="shared" si="175"/>
        <v>0.40647187995947059</v>
      </c>
      <c r="BY90" s="39">
        <f t="shared" si="176"/>
        <v>0.40647187995947059</v>
      </c>
      <c r="BZ90" s="39">
        <f t="shared" si="177"/>
        <v>0.40647187995947059</v>
      </c>
      <c r="CA90" s="39">
        <f t="shared" si="178"/>
        <v>0.40647187995947059</v>
      </c>
      <c r="CB90" s="39">
        <f t="shared" si="179"/>
        <v>0.40647187995947059</v>
      </c>
      <c r="CC90" s="39">
        <f t="shared" si="180"/>
        <v>0.40647187995947059</v>
      </c>
      <c r="CD90" s="39">
        <f t="shared" si="181"/>
        <v>0.40647187995947059</v>
      </c>
      <c r="CE90" s="39">
        <f t="shared" si="182"/>
        <v>0.40647187995947059</v>
      </c>
      <c r="CF90" s="39">
        <f t="shared" si="183"/>
        <v>0.40647187995947059</v>
      </c>
      <c r="CG90" s="39">
        <f t="shared" si="184"/>
        <v>0.40647187995947059</v>
      </c>
      <c r="CH90" s="39">
        <f t="shared" si="185"/>
        <v>0.40647187995947059</v>
      </c>
      <c r="CI90" s="39">
        <f t="shared" si="186"/>
        <v>0.40647187995947059</v>
      </c>
      <c r="CJ90" s="39">
        <f t="shared" si="187"/>
        <v>0.40647187995947059</v>
      </c>
      <c r="CK90" s="39">
        <f t="shared" si="188"/>
        <v>0.40647187995947059</v>
      </c>
      <c r="CL90" s="39">
        <f t="shared" si="189"/>
        <v>0.40647187995947059</v>
      </c>
      <c r="CM90" s="39">
        <f t="shared" si="190"/>
        <v>0.40647187995947059</v>
      </c>
      <c r="CN90" s="39">
        <f t="shared" si="191"/>
        <v>0.40647187995947059</v>
      </c>
      <c r="CO90" s="39">
        <f t="shared" si="192"/>
        <v>0.40647187995947059</v>
      </c>
      <c r="CP90" s="39">
        <f t="shared" si="193"/>
        <v>0.40647187995947059</v>
      </c>
      <c r="CQ90" s="39">
        <f t="shared" si="194"/>
        <v>0.40647187995947059</v>
      </c>
      <c r="CR90" s="39">
        <f t="shared" si="195"/>
        <v>0.40647187995947059</v>
      </c>
      <c r="CS90" s="39">
        <f t="shared" si="196"/>
        <v>0.40647187995947059</v>
      </c>
      <c r="CT90" s="39">
        <f t="shared" si="197"/>
        <v>0.40647187995947059</v>
      </c>
      <c r="CU90" s="39">
        <f t="shared" si="198"/>
        <v>0.40647187995947059</v>
      </c>
      <c r="CV90" s="39">
        <f t="shared" si="199"/>
        <v>0.40647187995947059</v>
      </c>
      <c r="CW90" s="39">
        <f t="shared" si="200"/>
        <v>0.40647187995947059</v>
      </c>
      <c r="CX90" s="39">
        <f t="shared" si="201"/>
        <v>0.40647187995947059</v>
      </c>
      <c r="CY90" s="39">
        <f t="shared" si="202"/>
        <v>0.40647187995947059</v>
      </c>
      <c r="CZ90" s="37">
        <f t="shared" si="203"/>
        <v>0.40647187995947059</v>
      </c>
      <c r="DB90" s="34"/>
      <c r="DC90" s="41">
        <v>4.6666666666666669E-2</v>
      </c>
      <c r="DD90" s="37">
        <f t="shared" si="204"/>
        <v>178.05843601215884</v>
      </c>
      <c r="DE90" s="39">
        <f t="shared" si="205"/>
        <v>174.44632507405896</v>
      </c>
      <c r="DF90" s="39">
        <f t="shared" si="206"/>
        <v>170.83043036902461</v>
      </c>
      <c r="DG90" s="39">
        <f t="shared" si="207"/>
        <v>167.20700987880571</v>
      </c>
      <c r="DH90" s="39">
        <f t="shared" si="208"/>
        <v>163.5724046122489</v>
      </c>
      <c r="DI90" s="39">
        <f t="shared" si="209"/>
        <v>159.92307894888697</v>
      </c>
      <c r="DJ90" s="39">
        <f t="shared" si="210"/>
        <v>156.2556595945068</v>
      </c>
      <c r="DK90" s="39">
        <f t="shared" si="211"/>
        <v>152.56697271231019</v>
      </c>
      <c r="DL90" s="39">
        <f t="shared" si="212"/>
        <v>148.8540788152952</v>
      </c>
      <c r="DM90" s="39">
        <f t="shared" si="213"/>
        <v>145.11430503237222</v>
      </c>
      <c r="DN90" s="39">
        <f t="shared" si="214"/>
        <v>141.34527439208469</v>
      </c>
      <c r="DO90" s="39">
        <f t="shared" si="215"/>
        <v>137.54493180317641</v>
      </c>
      <c r="DP90" s="39">
        <f t="shared" si="216"/>
        <v>133.711566450123</v>
      </c>
      <c r="DQ90" s="39">
        <f t="shared" si="217"/>
        <v>129.84383036358469</v>
      </c>
      <c r="DR90" s="39">
        <f t="shared" si="218"/>
        <v>125.94075296996725</v>
      </c>
      <c r="DS90" s="39">
        <f t="shared" si="219"/>
        <v>122.00175147031341</v>
      </c>
      <c r="DT90" s="39">
        <f t="shared" si="220"/>
        <v>118.02663694599613</v>
      </c>
      <c r="DU90" s="39">
        <f t="shared" si="221"/>
        <v>114.01561613656602</v>
      </c>
      <c r="DV90" s="39">
        <f t="shared" si="222"/>
        <v>109.96928888304477</v>
      </c>
      <c r="DW90" s="39">
        <f t="shared" si="223"/>
        <v>105.88864127741218</v>
      </c>
      <c r="DX90" s="39">
        <f t="shared" si="224"/>
        <v>101.77503460548735</v>
      </c>
      <c r="DY90" s="39">
        <f t="shared" si="225"/>
        <v>97.630190215373645</v>
      </c>
      <c r="DZ90" s="39">
        <f t="shared" si="226"/>
        <v>93.456170486681586</v>
      </c>
      <c r="EA90" s="39">
        <f t="shared" si="227"/>
        <v>89.25535611646076</v>
      </c>
      <c r="EB90" s="39">
        <f t="shared" si="228"/>
        <v>85.030419975805856</v>
      </c>
      <c r="EC90" s="39">
        <f t="shared" si="229"/>
        <v>80.784297826134704</v>
      </c>
      <c r="ED90" s="39">
        <f t="shared" si="230"/>
        <v>76.520156215897913</v>
      </c>
      <c r="EE90" s="39">
        <f t="shared" si="231"/>
        <v>72.241357906732603</v>
      </c>
      <c r="EF90" s="39">
        <f t="shared" si="232"/>
        <v>67.951425202625671</v>
      </c>
      <c r="EG90" s="39">
        <f t="shared" si="233"/>
        <v>63.654001576339894</v>
      </c>
      <c r="EH90" s="37">
        <f t="shared" si="234"/>
        <v>59.35281200405295</v>
      </c>
    </row>
    <row r="91" spans="5:138" x14ac:dyDescent="0.25">
      <c r="E91" s="32"/>
      <c r="F91" s="41">
        <v>4.3333333333333335E-2</v>
      </c>
      <c r="G91" s="50">
        <f t="shared" si="139"/>
        <v>300</v>
      </c>
      <c r="H91" s="51">
        <f t="shared" si="235"/>
        <v>293.9138771357629</v>
      </c>
      <c r="I91" s="51">
        <f t="shared" si="236"/>
        <v>287.82138253213759</v>
      </c>
      <c r="J91" s="51">
        <f t="shared" si="237"/>
        <v>281.71621474951405</v>
      </c>
      <c r="K91" s="51">
        <f t="shared" si="238"/>
        <v>275.59221215611569</v>
      </c>
      <c r="L91" s="51">
        <f t="shared" si="239"/>
        <v>269.4434208622344</v>
      </c>
      <c r="M91" s="51">
        <f t="shared" si="240"/>
        <v>263.26416031764541</v>
      </c>
      <c r="N91" s="51">
        <f t="shared" si="241"/>
        <v>257.04908583749017</v>
      </c>
      <c r="O91" s="51">
        <f t="shared" si="242"/>
        <v>250.79324735895005</v>
      </c>
      <c r="P91" s="51">
        <f t="shared" si="243"/>
        <v>244.49214377627288</v>
      </c>
      <c r="Q91" s="51">
        <f t="shared" si="244"/>
        <v>238.14177225447315</v>
      </c>
      <c r="R91" s="51">
        <f t="shared" si="245"/>
        <v>231.73867198154932</v>
      </c>
      <c r="S91" s="51">
        <f t="shared" si="246"/>
        <v>225.27996188448193</v>
      </c>
      <c r="T91" s="51">
        <f t="shared" si="247"/>
        <v>218.76337190469405</v>
      </c>
      <c r="U91" s="51">
        <f t="shared" si="248"/>
        <v>212.18726750309645</v>
      </c>
      <c r="V91" s="51">
        <f t="shared" si="249"/>
        <v>205.55066714233334</v>
      </c>
      <c r="W91" s="51">
        <f t="shared" si="250"/>
        <v>198.85325257338516</v>
      </c>
      <c r="X91" s="51">
        <f t="shared" si="251"/>
        <v>192.09537183429785</v>
      </c>
      <c r="Y91" s="51">
        <f t="shared" si="252"/>
        <v>185.2780349495311</v>
      </c>
      <c r="Z91" s="51">
        <f t="shared" si="253"/>
        <v>178.40290239833359</v>
      </c>
      <c r="AA91" s="51">
        <f t="shared" si="254"/>
        <v>171.47226649878809</v>
      </c>
      <c r="AB91" s="51">
        <f t="shared" si="255"/>
        <v>164.48902592991905</v>
      </c>
      <c r="AC91" s="51">
        <f t="shared" si="256"/>
        <v>157.45665368676555</v>
      </c>
      <c r="AD91" s="51">
        <f t="shared" si="257"/>
        <v>150.37915883192446</v>
      </c>
      <c r="AE91" s="51">
        <f t="shared" si="258"/>
        <v>143.26104247115643</v>
      </c>
      <c r="AF91" s="51">
        <f t="shared" si="259"/>
        <v>136.10724843968347</v>
      </c>
      <c r="AG91" s="51">
        <f t="shared" si="260"/>
        <v>128.923109239338</v>
      </c>
      <c r="AH91" s="51">
        <f t="shared" si="261"/>
        <v>121.71428781434454</v>
      </c>
      <c r="AI91" s="51">
        <f t="shared" si="262"/>
        <v>114.48671579490384</v>
      </c>
      <c r="AJ91" s="51">
        <f t="shared" si="263"/>
        <v>107.24652887262476</v>
      </c>
      <c r="AK91" s="50">
        <f t="shared" si="141"/>
        <v>100</v>
      </c>
      <c r="AL91" s="21"/>
      <c r="AM91" s="41">
        <v>4.3333333333333335E-2</v>
      </c>
      <c r="AN91" s="37">
        <f t="shared" si="142"/>
        <v>-1076400000</v>
      </c>
      <c r="AO91" s="39">
        <f t="shared" si="143"/>
        <v>-1054562895.3671241</v>
      </c>
      <c r="AP91" s="39">
        <f t="shared" si="144"/>
        <v>-1032702930.0134794</v>
      </c>
      <c r="AQ91" s="39">
        <f t="shared" si="145"/>
        <v>-1010797495.4407248</v>
      </c>
      <c r="AR91" s="39">
        <f t="shared" si="146"/>
        <v>-988824484.75487852</v>
      </c>
      <c r="AS91" s="39">
        <f t="shared" si="147"/>
        <v>-966762536.40178084</v>
      </c>
      <c r="AT91" s="39">
        <f t="shared" si="148"/>
        <v>-944591269.51864004</v>
      </c>
      <c r="AU91" s="39">
        <f t="shared" si="149"/>
        <v>-922291508.26568723</v>
      </c>
      <c r="AV91" s="39">
        <f t="shared" si="150"/>
        <v>-899845492.63483107</v>
      </c>
      <c r="AW91" s="39">
        <f t="shared" si="151"/>
        <v>-877237073.39450359</v>
      </c>
      <c r="AX91" s="39">
        <f t="shared" si="152"/>
        <v>-854451889.01915932</v>
      </c>
      <c r="AY91" s="39">
        <f t="shared" si="153"/>
        <v>-831477522.66543519</v>
      </c>
      <c r="AZ91" s="39">
        <f t="shared" si="154"/>
        <v>-808303637.49167764</v>
      </c>
      <c r="BA91" s="39">
        <f t="shared" si="155"/>
        <v>-784922088.87017906</v>
      </c>
      <c r="BB91" s="39">
        <f t="shared" si="156"/>
        <v>-761327012.30853045</v>
      </c>
      <c r="BC91" s="39">
        <f t="shared" si="157"/>
        <v>-737514886.17452466</v>
      </c>
      <c r="BD91" s="39">
        <f t="shared" si="158"/>
        <v>-713484568.60440898</v>
      </c>
      <c r="BE91" s="39">
        <f t="shared" si="159"/>
        <v>-689237308.2635107</v>
      </c>
      <c r="BF91" s="39">
        <f t="shared" si="160"/>
        <v>-664776728.91787422</v>
      </c>
      <c r="BG91" s="39">
        <f t="shared" si="161"/>
        <v>-640108788.06227207</v>
      </c>
      <c r="BH91" s="39">
        <f t="shared" si="162"/>
        <v>-615241710.13065541</v>
      </c>
      <c r="BI91" s="39">
        <f t="shared" si="163"/>
        <v>-590185895.08688378</v>
      </c>
      <c r="BJ91" s="39">
        <f t="shared" si="164"/>
        <v>-564953803.45374668</v>
      </c>
      <c r="BK91" s="39">
        <f t="shared" si="165"/>
        <v>-539559819.08443129</v>
      </c>
      <c r="BL91" s="39">
        <f t="shared" si="166"/>
        <v>-514020091.21053594</v>
      </c>
      <c r="BM91" s="39">
        <f t="shared" si="167"/>
        <v>-488352357.51256317</v>
      </c>
      <c r="BN91" s="39">
        <f t="shared" si="168"/>
        <v>-462575750.15089625</v>
      </c>
      <c r="BO91" s="39">
        <f t="shared" si="169"/>
        <v>-436710586.86613756</v>
      </c>
      <c r="BP91" s="39">
        <f t="shared" si="170"/>
        <v>-410778149.40619844</v>
      </c>
      <c r="BQ91" s="39">
        <f t="shared" si="171"/>
        <v>-384800451.66266733</v>
      </c>
      <c r="BR91" s="37">
        <f t="shared" si="172"/>
        <v>-358800000</v>
      </c>
      <c r="BT91" s="34"/>
      <c r="BU91" s="41">
        <v>4.3333333333333335E-2</v>
      </c>
      <c r="BV91" s="37">
        <f t="shared" si="173"/>
        <v>0.40647188000710688</v>
      </c>
      <c r="BW91" s="39">
        <f t="shared" si="174"/>
        <v>0.40647188000710688</v>
      </c>
      <c r="BX91" s="39">
        <f t="shared" si="175"/>
        <v>0.40647188000710688</v>
      </c>
      <c r="BY91" s="39">
        <f t="shared" si="176"/>
        <v>0.40647188000710688</v>
      </c>
      <c r="BZ91" s="39">
        <f t="shared" si="177"/>
        <v>0.40647188000710688</v>
      </c>
      <c r="CA91" s="39">
        <f t="shared" si="178"/>
        <v>0.40647188000710688</v>
      </c>
      <c r="CB91" s="39">
        <f t="shared" si="179"/>
        <v>0.40647188000710688</v>
      </c>
      <c r="CC91" s="39">
        <f t="shared" si="180"/>
        <v>0.40647188000710688</v>
      </c>
      <c r="CD91" s="39">
        <f t="shared" si="181"/>
        <v>0.40647188000710688</v>
      </c>
      <c r="CE91" s="39">
        <f t="shared" si="182"/>
        <v>0.40647188000710688</v>
      </c>
      <c r="CF91" s="39">
        <f t="shared" si="183"/>
        <v>0.40647188000710688</v>
      </c>
      <c r="CG91" s="39">
        <f t="shared" si="184"/>
        <v>0.40647188000710688</v>
      </c>
      <c r="CH91" s="39">
        <f t="shared" si="185"/>
        <v>0.40647188000710688</v>
      </c>
      <c r="CI91" s="39">
        <f t="shared" si="186"/>
        <v>0.40647188000710688</v>
      </c>
      <c r="CJ91" s="39">
        <f t="shared" si="187"/>
        <v>0.40647188000710688</v>
      </c>
      <c r="CK91" s="39">
        <f t="shared" si="188"/>
        <v>0.40647188000710688</v>
      </c>
      <c r="CL91" s="39">
        <f t="shared" si="189"/>
        <v>0.40647188000710688</v>
      </c>
      <c r="CM91" s="39">
        <f t="shared" si="190"/>
        <v>0.40647188000710688</v>
      </c>
      <c r="CN91" s="39">
        <f t="shared" si="191"/>
        <v>0.40647188000710688</v>
      </c>
      <c r="CO91" s="39">
        <f t="shared" si="192"/>
        <v>0.40647188000710688</v>
      </c>
      <c r="CP91" s="39">
        <f t="shared" si="193"/>
        <v>0.40647188000710688</v>
      </c>
      <c r="CQ91" s="39">
        <f t="shared" si="194"/>
        <v>0.40647188000710688</v>
      </c>
      <c r="CR91" s="39">
        <f t="shared" si="195"/>
        <v>0.40647188000710688</v>
      </c>
      <c r="CS91" s="39">
        <f t="shared" si="196"/>
        <v>0.40647188000710688</v>
      </c>
      <c r="CT91" s="39">
        <f t="shared" si="197"/>
        <v>0.40647188000710688</v>
      </c>
      <c r="CU91" s="39">
        <f t="shared" si="198"/>
        <v>0.40647188000710688</v>
      </c>
      <c r="CV91" s="39">
        <f t="shared" si="199"/>
        <v>0.40647188000710688</v>
      </c>
      <c r="CW91" s="39">
        <f t="shared" si="200"/>
        <v>0.40647188000710688</v>
      </c>
      <c r="CX91" s="39">
        <f t="shared" si="201"/>
        <v>0.40647188000710688</v>
      </c>
      <c r="CY91" s="39">
        <f t="shared" si="202"/>
        <v>0.40647188000710688</v>
      </c>
      <c r="CZ91" s="37">
        <f t="shared" si="203"/>
        <v>0.40647188000710688</v>
      </c>
      <c r="DB91" s="34"/>
      <c r="DC91" s="41">
        <v>4.3333333333333335E-2</v>
      </c>
      <c r="DD91" s="37">
        <f t="shared" si="204"/>
        <v>178.05843599786795</v>
      </c>
      <c r="DE91" s="39">
        <f t="shared" si="205"/>
        <v>174.44576200918033</v>
      </c>
      <c r="DF91" s="39">
        <f t="shared" si="206"/>
        <v>170.82931059321407</v>
      </c>
      <c r="DG91" s="39">
        <f t="shared" si="207"/>
        <v>167.20534599443027</v>
      </c>
      <c r="DH91" s="39">
        <f t="shared" si="208"/>
        <v>163.57021533166997</v>
      </c>
      <c r="DI91" s="39">
        <f t="shared" si="209"/>
        <v>159.920388868289</v>
      </c>
      <c r="DJ91" s="39">
        <f t="shared" si="210"/>
        <v>156.25249889767966</v>
      </c>
      <c r="DK91" s="39">
        <f t="shared" si="211"/>
        <v>152.56337680880654</v>
      </c>
      <c r="DL91" s="39">
        <f t="shared" si="212"/>
        <v>148.85008791829549</v>
      </c>
      <c r="DM91" s="39">
        <f t="shared" si="213"/>
        <v>145.10996368238347</v>
      </c>
      <c r="DN91" s="39">
        <f t="shared" si="214"/>
        <v>141.34063093325824</v>
      </c>
      <c r="DO91" s="39">
        <f t="shared" si="215"/>
        <v>137.54003781954657</v>
      </c>
      <c r="DP91" s="39">
        <f t="shared" si="216"/>
        <v>133.70647616943506</v>
      </c>
      <c r="DQ91" s="39">
        <f t="shared" si="217"/>
        <v>129.83860003659984</v>
      </c>
      <c r="DR91" s="39">
        <f t="shared" si="218"/>
        <v>125.9354402332032</v>
      </c>
      <c r="DS91" s="39">
        <f t="shared" si="219"/>
        <v>121.99641470011444</v>
      </c>
      <c r="DT91" s="39">
        <f t="shared" si="220"/>
        <v>118.02133461163569</v>
      </c>
      <c r="DU91" s="39">
        <f t="shared" si="221"/>
        <v>114.0104061597814</v>
      </c>
      <c r="DV91" s="39">
        <f t="shared" si="222"/>
        <v>109.96422801100799</v>
      </c>
      <c r="DW91" s="39">
        <f t="shared" si="223"/>
        <v>105.88378447566888</v>
      </c>
      <c r="DX91" s="39">
        <f t="shared" si="224"/>
        <v>101.77043447686738</v>
      </c>
      <c r="DY91" s="39">
        <f t="shared" si="225"/>
        <v>97.625896450312396</v>
      </c>
      <c r="DZ91" s="39">
        <f t="shared" si="226"/>
        <v>93.452229349807538</v>
      </c>
      <c r="EA91" s="39">
        <f t="shared" si="227"/>
        <v>89.251809973719034</v>
      </c>
      <c r="EB91" s="39">
        <f t="shared" si="228"/>
        <v>85.02730686581485</v>
      </c>
      <c r="EC91" s="39">
        <f t="shared" si="229"/>
        <v>80.781651078923588</v>
      </c>
      <c r="ED91" s="39">
        <f t="shared" si="230"/>
        <v>76.518004121656929</v>
      </c>
      <c r="EE91" s="39">
        <f t="shared" si="231"/>
        <v>72.239723436729761</v>
      </c>
      <c r="EF91" s="39">
        <f t="shared" si="232"/>
        <v>67.950325784005983</v>
      </c>
      <c r="EG91" s="39">
        <f t="shared" si="233"/>
        <v>63.653448922124028</v>
      </c>
      <c r="EH91" s="37">
        <f t="shared" si="234"/>
        <v>59.352811999289315</v>
      </c>
    </row>
    <row r="92" spans="5:138" x14ac:dyDescent="0.25">
      <c r="E92" s="32"/>
      <c r="F92" s="41">
        <v>0.04</v>
      </c>
      <c r="G92" s="50">
        <f t="shared" si="139"/>
        <v>300</v>
      </c>
      <c r="H92" s="51">
        <f t="shared" si="235"/>
        <v>293.91294343863723</v>
      </c>
      <c r="I92" s="51">
        <f t="shared" si="236"/>
        <v>287.81952565071697</v>
      </c>
      <c r="J92" s="51">
        <f t="shared" si="237"/>
        <v>281.71345558186977</v>
      </c>
      <c r="K92" s="51">
        <f t="shared" si="238"/>
        <v>275.58858173232358</v>
      </c>
      <c r="L92" s="51">
        <f t="shared" si="239"/>
        <v>269.43895996933509</v>
      </c>
      <c r="M92" s="51">
        <f t="shared" si="240"/>
        <v>263.25891900845278</v>
      </c>
      <c r="N92" s="51">
        <f t="shared" si="241"/>
        <v>257.04312283057811</v>
      </c>
      <c r="O92" s="51">
        <f t="shared" si="242"/>
        <v>250.78662933865979</v>
      </c>
      <c r="P92" s="51">
        <f t="shared" si="243"/>
        <v>244.48494460289828</v>
      </c>
      <c r="Q92" s="51">
        <f t="shared" si="244"/>
        <v>238.13407209587473</v>
      </c>
      <c r="R92" s="51">
        <f t="shared" si="245"/>
        <v>231.73055637830382</v>
      </c>
      <c r="S92" s="51">
        <f t="shared" si="246"/>
        <v>225.27152076128408</v>
      </c>
      <c r="T92" s="51">
        <f t="shared" si="247"/>
        <v>218.75469854108741</v>
      </c>
      <c r="U92" s="51">
        <f t="shared" si="248"/>
        <v>212.17845747673147</v>
      </c>
      <c r="V92" s="51">
        <f t="shared" si="249"/>
        <v>205.54181725784187</v>
      </c>
      <c r="W92" s="51">
        <f t="shared" si="250"/>
        <v>198.84445978964433</v>
      </c>
      <c r="X92" s="51">
        <f t="shared" si="251"/>
        <v>192.08673220235437</v>
      </c>
      <c r="Y92" s="51">
        <f t="shared" si="252"/>
        <v>185.26964257280031</v>
      </c>
      <c r="Z92" s="51">
        <f t="shared" si="253"/>
        <v>178.394848425905</v>
      </c>
      <c r="AA92" s="51">
        <f t="shared" si="254"/>
        <v>171.46463816179454</v>
      </c>
      <c r="AB92" s="51">
        <f t="shared" si="255"/>
        <v>164.48190562998911</v>
      </c>
      <c r="AC92" s="51">
        <f t="shared" si="256"/>
        <v>157.45011814461208</v>
      </c>
      <c r="AD92" s="51">
        <f t="shared" si="257"/>
        <v>150.37327830315104</v>
      </c>
      <c r="AE92" s="51">
        <f t="shared" si="258"/>
        <v>143.25588003541372</v>
      </c>
      <c r="AF92" s="51">
        <f t="shared" si="259"/>
        <v>136.10285936839682</v>
      </c>
      <c r="AG92" s="51">
        <f t="shared" si="260"/>
        <v>128.91954044637166</v>
      </c>
      <c r="AH92" s="51">
        <f t="shared" si="261"/>
        <v>121.71157739317576</v>
      </c>
      <c r="AI92" s="51">
        <f t="shared" si="262"/>
        <v>114.484892645153</v>
      </c>
      <c r="AJ92" s="51">
        <f t="shared" si="263"/>
        <v>107.2456124181269</v>
      </c>
      <c r="AK92" s="50">
        <f t="shared" si="141"/>
        <v>100</v>
      </c>
      <c r="AL92" s="21"/>
      <c r="AM92" s="41">
        <v>0.04</v>
      </c>
      <c r="AN92" s="37">
        <f t="shared" si="142"/>
        <v>-1076400000</v>
      </c>
      <c r="AO92" s="39">
        <f t="shared" si="143"/>
        <v>-1054559500.1517863</v>
      </c>
      <c r="AP92" s="39">
        <f t="shared" si="144"/>
        <v>-1032696177.8106158</v>
      </c>
      <c r="AQ92" s="39">
        <f t="shared" si="145"/>
        <v>-1010787462.2420096</v>
      </c>
      <c r="AR92" s="39">
        <f t="shared" si="146"/>
        <v>-988811283.3950156</v>
      </c>
      <c r="AS92" s="39">
        <f t="shared" si="147"/>
        <v>-966746315.19476414</v>
      </c>
      <c r="AT92" s="39">
        <f t="shared" si="148"/>
        <v>-944572210.47165263</v>
      </c>
      <c r="AU92" s="39">
        <f t="shared" si="149"/>
        <v>-922269824.89729512</v>
      </c>
      <c r="AV92" s="39">
        <f t="shared" si="150"/>
        <v>-899821427.42962503</v>
      </c>
      <c r="AW92" s="39">
        <f t="shared" si="151"/>
        <v>-877210894.93111873</v>
      </c>
      <c r="AX92" s="39">
        <f t="shared" si="152"/>
        <v>-854423888.81258619</v>
      </c>
      <c r="AY92" s="39">
        <f t="shared" si="153"/>
        <v>-831448011.7676425</v>
      </c>
      <c r="AZ92" s="39">
        <f t="shared" si="154"/>
        <v>-808272942.89678788</v>
      </c>
      <c r="BA92" s="39">
        <f t="shared" si="155"/>
        <v>-784890549.77174652</v>
      </c>
      <c r="BB92" s="39">
        <f t="shared" si="156"/>
        <v>-761294976.25691473</v>
      </c>
      <c r="BC92" s="39">
        <f t="shared" si="157"/>
        <v>-737482705.18195283</v>
      </c>
      <c r="BD92" s="39">
        <f t="shared" si="158"/>
        <v>-713452595.24417424</v>
      </c>
      <c r="BE92" s="39">
        <f t="shared" si="159"/>
        <v>-689205891.80792701</v>
      </c>
      <c r="BF92" s="39">
        <f t="shared" si="160"/>
        <v>-664746211.55722141</v>
      </c>
      <c r="BG92" s="39">
        <f t="shared" si="161"/>
        <v>-640079501.24412024</v>
      </c>
      <c r="BH92" s="39">
        <f t="shared" si="162"/>
        <v>-615213971.05577326</v>
      </c>
      <c r="BI92" s="39">
        <f t="shared" si="163"/>
        <v>-590160003.39453411</v>
      </c>
      <c r="BJ92" s="39">
        <f t="shared" si="164"/>
        <v>-564930038.12565088</v>
      </c>
      <c r="BK92" s="39">
        <f t="shared" si="165"/>
        <v>-539538435.59315622</v>
      </c>
      <c r="BL92" s="39">
        <f t="shared" si="166"/>
        <v>-514001318.93460244</v>
      </c>
      <c r="BM92" s="39">
        <f t="shared" si="167"/>
        <v>-488336397.43726552</v>
      </c>
      <c r="BN92" s="39">
        <f t="shared" si="168"/>
        <v>-462562772.87070626</v>
      </c>
      <c r="BO92" s="39">
        <f t="shared" si="169"/>
        <v>-436700730.9016903</v>
      </c>
      <c r="BP92" s="39">
        <f t="shared" si="170"/>
        <v>-410771519.84620792</v>
      </c>
      <c r="BQ92" s="39">
        <f t="shared" si="171"/>
        <v>-384797119.13872391</v>
      </c>
      <c r="BR92" s="37">
        <f t="shared" si="172"/>
        <v>-358800000</v>
      </c>
      <c r="BT92" s="34"/>
      <c r="BU92" s="41">
        <v>0.04</v>
      </c>
      <c r="BV92" s="37">
        <f t="shared" si="173"/>
        <v>0.40647188029542825</v>
      </c>
      <c r="BW92" s="39">
        <f t="shared" si="174"/>
        <v>0.40647188029542825</v>
      </c>
      <c r="BX92" s="39">
        <f t="shared" si="175"/>
        <v>0.40647188029542825</v>
      </c>
      <c r="BY92" s="39">
        <f t="shared" si="176"/>
        <v>0.40647188029542825</v>
      </c>
      <c r="BZ92" s="39">
        <f t="shared" si="177"/>
        <v>0.40647188029542825</v>
      </c>
      <c r="CA92" s="39">
        <f t="shared" si="178"/>
        <v>0.40647188029542825</v>
      </c>
      <c r="CB92" s="39">
        <f t="shared" si="179"/>
        <v>0.40647188029542825</v>
      </c>
      <c r="CC92" s="39">
        <f t="shared" si="180"/>
        <v>0.40647188029542825</v>
      </c>
      <c r="CD92" s="39">
        <f t="shared" si="181"/>
        <v>0.40647188029542825</v>
      </c>
      <c r="CE92" s="39">
        <f t="shared" si="182"/>
        <v>0.40647188029542825</v>
      </c>
      <c r="CF92" s="39">
        <f t="shared" si="183"/>
        <v>0.40647188029542825</v>
      </c>
      <c r="CG92" s="39">
        <f t="shared" si="184"/>
        <v>0.40647188029542825</v>
      </c>
      <c r="CH92" s="39">
        <f t="shared" si="185"/>
        <v>0.40647188029542825</v>
      </c>
      <c r="CI92" s="39">
        <f t="shared" si="186"/>
        <v>0.40647188029542825</v>
      </c>
      <c r="CJ92" s="39">
        <f t="shared" si="187"/>
        <v>0.40647188029542825</v>
      </c>
      <c r="CK92" s="39">
        <f t="shared" si="188"/>
        <v>0.40647188029542825</v>
      </c>
      <c r="CL92" s="39">
        <f t="shared" si="189"/>
        <v>0.40647188029542825</v>
      </c>
      <c r="CM92" s="39">
        <f t="shared" si="190"/>
        <v>0.40647188029542825</v>
      </c>
      <c r="CN92" s="39">
        <f t="shared" si="191"/>
        <v>0.40647188029542825</v>
      </c>
      <c r="CO92" s="39">
        <f t="shared" si="192"/>
        <v>0.40647188029542825</v>
      </c>
      <c r="CP92" s="39">
        <f t="shared" si="193"/>
        <v>0.40647188029542825</v>
      </c>
      <c r="CQ92" s="39">
        <f t="shared" si="194"/>
        <v>0.40647188029542825</v>
      </c>
      <c r="CR92" s="39">
        <f t="shared" si="195"/>
        <v>0.40647188029542825</v>
      </c>
      <c r="CS92" s="39">
        <f t="shared" si="196"/>
        <v>0.40647188029542825</v>
      </c>
      <c r="CT92" s="39">
        <f t="shared" si="197"/>
        <v>0.40647188029542825</v>
      </c>
      <c r="CU92" s="39">
        <f t="shared" si="198"/>
        <v>0.40647188029542825</v>
      </c>
      <c r="CV92" s="39">
        <f t="shared" si="199"/>
        <v>0.40647188029542825</v>
      </c>
      <c r="CW92" s="39">
        <f t="shared" si="200"/>
        <v>0.40647188029542825</v>
      </c>
      <c r="CX92" s="39">
        <f t="shared" si="201"/>
        <v>0.40647188029542825</v>
      </c>
      <c r="CY92" s="39">
        <f t="shared" si="202"/>
        <v>0.40647188029542825</v>
      </c>
      <c r="CZ92" s="37">
        <f t="shared" si="203"/>
        <v>0.40647188029542825</v>
      </c>
      <c r="DB92" s="34"/>
      <c r="DC92" s="41">
        <v>0.04</v>
      </c>
      <c r="DD92" s="37">
        <f t="shared" si="204"/>
        <v>178.05843591137156</v>
      </c>
      <c r="DE92" s="39">
        <f t="shared" si="205"/>
        <v>174.44521715434422</v>
      </c>
      <c r="DF92" s="39">
        <f t="shared" si="206"/>
        <v>170.82822710364928</v>
      </c>
      <c r="DG92" s="39">
        <f t="shared" si="207"/>
        <v>167.20373606292415</v>
      </c>
      <c r="DH92" s="39">
        <f t="shared" si="208"/>
        <v>163.56809706245065</v>
      </c>
      <c r="DI92" s="39">
        <f t="shared" si="209"/>
        <v>159.91778605823023</v>
      </c>
      <c r="DJ92" s="39">
        <f t="shared" si="210"/>
        <v>156.2494407497424</v>
      </c>
      <c r="DK92" s="39">
        <f t="shared" si="211"/>
        <v>152.55989758199254</v>
      </c>
      <c r="DL92" s="39">
        <f t="shared" si="212"/>
        <v>148.84622651927091</v>
      </c>
      <c r="DM92" s="39">
        <f t="shared" si="213"/>
        <v>145.10576320469647</v>
      </c>
      <c r="DN92" s="39">
        <f t="shared" si="214"/>
        <v>141.33613815071337</v>
      </c>
      <c r="DO92" s="39">
        <f t="shared" si="215"/>
        <v>137.53530264079799</v>
      </c>
      <c r="DP92" s="39">
        <f t="shared" si="216"/>
        <v>133.70155106121632</v>
      </c>
      <c r="DQ92" s="39">
        <f t="shared" si="217"/>
        <v>129.83353942321835</v>
      </c>
      <c r="DR92" s="39">
        <f t="shared" si="218"/>
        <v>125.93029987999883</v>
      </c>
      <c r="DS92" s="39">
        <f t="shared" si="219"/>
        <v>121.99125108851794</v>
      </c>
      <c r="DT92" s="39">
        <f t="shared" si="220"/>
        <v>118.01620431327876</v>
      </c>
      <c r="DU92" s="39">
        <f t="shared" si="221"/>
        <v>114.00536521681788</v>
      </c>
      <c r="DV92" s="39">
        <f t="shared" si="222"/>
        <v>109.95933132942231</v>
      </c>
      <c r="DW92" s="39">
        <f t="shared" si="223"/>
        <v>105.87908523789257</v>
      </c>
      <c r="DX92" s="39">
        <f t="shared" si="224"/>
        <v>101.76598357951337</v>
      </c>
      <c r="DY92" s="39">
        <f t="shared" si="225"/>
        <v>97.621741972291474</v>
      </c>
      <c r="DZ92" s="39">
        <f t="shared" si="226"/>
        <v>93.448416055526394</v>
      </c>
      <c r="EA92" s="39">
        <f t="shared" si="227"/>
        <v>89.248378855493854</v>
      </c>
      <c r="EB92" s="39">
        <f t="shared" si="228"/>
        <v>85.024294729079557</v>
      </c>
      <c r="EC92" s="39">
        <f t="shared" si="229"/>
        <v>80.779090173281674</v>
      </c>
      <c r="ED92" s="39">
        <f t="shared" si="230"/>
        <v>76.515921820325033</v>
      </c>
      <c r="EE92" s="39">
        <f t="shared" si="231"/>
        <v>72.238141966460205</v>
      </c>
      <c r="EF92" s="39">
        <f t="shared" si="232"/>
        <v>67.949262007150125</v>
      </c>
      <c r="EG92" s="39">
        <f t="shared" si="233"/>
        <v>63.652914172113171</v>
      </c>
      <c r="EH92" s="37">
        <f t="shared" si="234"/>
        <v>59.352811970457175</v>
      </c>
    </row>
    <row r="93" spans="5:138" x14ac:dyDescent="0.25">
      <c r="E93" s="32"/>
      <c r="F93" s="41">
        <v>3.6666666666666667E-2</v>
      </c>
      <c r="G93" s="50">
        <f t="shared" si="139"/>
        <v>300</v>
      </c>
      <c r="H93" s="51">
        <f t="shared" si="235"/>
        <v>293.91204377678793</v>
      </c>
      <c r="I93" s="51">
        <f t="shared" si="236"/>
        <v>287.81773645629073</v>
      </c>
      <c r="J93" s="51">
        <f t="shared" si="237"/>
        <v>281.71079699049096</v>
      </c>
      <c r="K93" s="51">
        <f t="shared" si="238"/>
        <v>275.58508364200037</v>
      </c>
      <c r="L93" s="51">
        <f t="shared" si="239"/>
        <v>269.43466167914352</v>
      </c>
      <c r="M93" s="51">
        <f t="shared" si="240"/>
        <v>263.25386874531722</v>
      </c>
      <c r="N93" s="51">
        <f t="shared" si="241"/>
        <v>257.03737717120691</v>
      </c>
      <c r="O93" s="51">
        <f t="shared" si="242"/>
        <v>250.78025253515369</v>
      </c>
      <c r="P93" s="51">
        <f t="shared" si="243"/>
        <v>244.47800782181361</v>
      </c>
      <c r="Q93" s="51">
        <f t="shared" si="244"/>
        <v>238.12665258157875</v>
      </c>
      <c r="R93" s="51">
        <f t="shared" si="245"/>
        <v>231.72273655228335</v>
      </c>
      <c r="S93" s="51">
        <f t="shared" si="246"/>
        <v>225.26338726965616</v>
      </c>
      <c r="T93" s="51">
        <f t="shared" si="247"/>
        <v>218.7463412629096</v>
      </c>
      <c r="U93" s="51">
        <f t="shared" si="248"/>
        <v>212.16996850582484</v>
      </c>
      <c r="V93" s="51">
        <f t="shared" si="249"/>
        <v>205.5332898707378</v>
      </c>
      <c r="W93" s="51">
        <f t="shared" si="250"/>
        <v>198.83598741195897</v>
      </c>
      <c r="X93" s="51">
        <f t="shared" si="251"/>
        <v>192.07840738541586</v>
      </c>
      <c r="Y93" s="51">
        <f t="shared" si="252"/>
        <v>185.2615559917183</v>
      </c>
      <c r="Z93" s="51">
        <f t="shared" si="253"/>
        <v>178.38708790952154</v>
      </c>
      <c r="AA93" s="51">
        <f t="shared" si="254"/>
        <v>171.45728776411153</v>
      </c>
      <c r="AB93" s="51">
        <f t="shared" si="255"/>
        <v>164.47504475176618</v>
      </c>
      <c r="AC93" s="51">
        <f t="shared" si="256"/>
        <v>157.44382071289749</v>
      </c>
      <c r="AD93" s="51">
        <f t="shared" si="257"/>
        <v>150.36761201557317</v>
      </c>
      <c r="AE93" s="51">
        <f t="shared" si="258"/>
        <v>143.25090567514491</v>
      </c>
      <c r="AF93" s="51">
        <f t="shared" si="259"/>
        <v>136.09863019482566</v>
      </c>
      <c r="AG93" s="51">
        <f t="shared" si="260"/>
        <v>128.91610166569399</v>
      </c>
      <c r="AH93" s="51">
        <f t="shared" si="261"/>
        <v>121.70896571235102</v>
      </c>
      <c r="AI93" s="51">
        <f t="shared" si="262"/>
        <v>114.48313591197245</v>
      </c>
      <c r="AJ93" s="51">
        <f t="shared" si="263"/>
        <v>107.24472934950231</v>
      </c>
      <c r="AK93" s="50">
        <f t="shared" si="141"/>
        <v>100</v>
      </c>
      <c r="AL93" s="21"/>
      <c r="AM93" s="41">
        <v>3.6666666666666667E-2</v>
      </c>
      <c r="AN93" s="37">
        <f t="shared" si="142"/>
        <v>-1076400000</v>
      </c>
      <c r="AO93" s="39">
        <f t="shared" si="143"/>
        <v>-1054556228.7767735</v>
      </c>
      <c r="AP93" s="39">
        <f t="shared" si="144"/>
        <v>-1032689671.8927476</v>
      </c>
      <c r="AQ93" s="39">
        <f t="shared" si="145"/>
        <v>-1010777794.9986444</v>
      </c>
      <c r="AR93" s="39">
        <f t="shared" si="146"/>
        <v>-988798563.5416075</v>
      </c>
      <c r="AS93" s="39">
        <f t="shared" si="147"/>
        <v>-966730685.63106477</v>
      </c>
      <c r="AT93" s="39">
        <f t="shared" si="148"/>
        <v>-944553846.56101179</v>
      </c>
      <c r="AU93" s="39">
        <f t="shared" si="149"/>
        <v>-922248932.36472833</v>
      </c>
      <c r="AV93" s="39">
        <f t="shared" si="150"/>
        <v>-899798239.90961635</v>
      </c>
      <c r="AW93" s="39">
        <f t="shared" si="151"/>
        <v>-877185671.20072782</v>
      </c>
      <c r="AX93" s="39">
        <f t="shared" si="152"/>
        <v>-854396909.74926305</v>
      </c>
      <c r="AY93" s="39">
        <f t="shared" si="153"/>
        <v>-831419577.07415235</v>
      </c>
      <c r="AZ93" s="39">
        <f t="shared" si="154"/>
        <v>-808243367.63778102</v>
      </c>
      <c r="BA93" s="39">
        <f t="shared" si="155"/>
        <v>-784860160.76778066</v>
      </c>
      <c r="BB93" s="39">
        <f t="shared" si="156"/>
        <v>-761264108.38215578</v>
      </c>
      <c r="BC93" s="39">
        <f t="shared" si="157"/>
        <v>-737451697.611408</v>
      </c>
      <c r="BD93" s="39">
        <f t="shared" si="158"/>
        <v>-713421787.69519961</v>
      </c>
      <c r="BE93" s="39">
        <f t="shared" si="159"/>
        <v>-689175620.81900442</v>
      </c>
      <c r="BF93" s="39">
        <f t="shared" si="160"/>
        <v>-664716806.84469461</v>
      </c>
      <c r="BG93" s="39">
        <f t="shared" si="161"/>
        <v>-640051282.17484903</v>
      </c>
      <c r="BH93" s="39">
        <f t="shared" si="162"/>
        <v>-615187243.27059722</v>
      </c>
      <c r="BI93" s="39">
        <f t="shared" si="163"/>
        <v>-590135055.61415911</v>
      </c>
      <c r="BJ93" s="39">
        <f t="shared" si="164"/>
        <v>-564907139.16718853</v>
      </c>
      <c r="BK93" s="39">
        <f t="shared" si="165"/>
        <v>-539517831.62214231</v>
      </c>
      <c r="BL93" s="39">
        <f t="shared" si="166"/>
        <v>-513983230.97399604</v>
      </c>
      <c r="BM93" s="39">
        <f t="shared" si="167"/>
        <v>-488321019.15174031</v>
      </c>
      <c r="BN93" s="39">
        <f t="shared" si="168"/>
        <v>-462550268.64154828</v>
      </c>
      <c r="BO93" s="39">
        <f t="shared" si="169"/>
        <v>-436691234.20483476</v>
      </c>
      <c r="BP93" s="39">
        <f t="shared" si="170"/>
        <v>-410765131.94340622</v>
      </c>
      <c r="BQ93" s="39">
        <f t="shared" si="171"/>
        <v>-384793908.08950812</v>
      </c>
      <c r="BR93" s="37">
        <f t="shared" si="172"/>
        <v>-358800000</v>
      </c>
      <c r="BT93" s="34"/>
      <c r="BU93" s="41">
        <v>3.6666666666666667E-2</v>
      </c>
      <c r="BV93" s="37">
        <f t="shared" si="173"/>
        <v>0.40647188204051027</v>
      </c>
      <c r="BW93" s="39">
        <f t="shared" si="174"/>
        <v>0.40647188204051027</v>
      </c>
      <c r="BX93" s="39">
        <f t="shared" si="175"/>
        <v>0.40647188204051027</v>
      </c>
      <c r="BY93" s="39">
        <f t="shared" si="176"/>
        <v>0.40647188204051027</v>
      </c>
      <c r="BZ93" s="39">
        <f t="shared" si="177"/>
        <v>0.40647188204051027</v>
      </c>
      <c r="CA93" s="39">
        <f t="shared" si="178"/>
        <v>0.40647188204051027</v>
      </c>
      <c r="CB93" s="39">
        <f t="shared" si="179"/>
        <v>0.40647188204051027</v>
      </c>
      <c r="CC93" s="39">
        <f t="shared" si="180"/>
        <v>0.40647188204051027</v>
      </c>
      <c r="CD93" s="39">
        <f t="shared" si="181"/>
        <v>0.40647188204051027</v>
      </c>
      <c r="CE93" s="39">
        <f t="shared" si="182"/>
        <v>0.40647188204051027</v>
      </c>
      <c r="CF93" s="39">
        <f t="shared" si="183"/>
        <v>0.40647188204051027</v>
      </c>
      <c r="CG93" s="39">
        <f t="shared" si="184"/>
        <v>0.40647188204051027</v>
      </c>
      <c r="CH93" s="39">
        <f t="shared" si="185"/>
        <v>0.40647188204051027</v>
      </c>
      <c r="CI93" s="39">
        <f t="shared" si="186"/>
        <v>0.40647188204051027</v>
      </c>
      <c r="CJ93" s="39">
        <f t="shared" si="187"/>
        <v>0.40647188204051027</v>
      </c>
      <c r="CK93" s="39">
        <f t="shared" si="188"/>
        <v>0.40647188204051027</v>
      </c>
      <c r="CL93" s="39">
        <f t="shared" si="189"/>
        <v>0.40647188204051027</v>
      </c>
      <c r="CM93" s="39">
        <f t="shared" si="190"/>
        <v>0.40647188204051027</v>
      </c>
      <c r="CN93" s="39">
        <f t="shared" si="191"/>
        <v>0.40647188204051027</v>
      </c>
      <c r="CO93" s="39">
        <f t="shared" si="192"/>
        <v>0.40647188204051027</v>
      </c>
      <c r="CP93" s="39">
        <f t="shared" si="193"/>
        <v>0.40647188204051027</v>
      </c>
      <c r="CQ93" s="39">
        <f t="shared" si="194"/>
        <v>0.40647188204051027</v>
      </c>
      <c r="CR93" s="39">
        <f t="shared" si="195"/>
        <v>0.40647188204051027</v>
      </c>
      <c r="CS93" s="39">
        <f t="shared" si="196"/>
        <v>0.40647188204051027</v>
      </c>
      <c r="CT93" s="39">
        <f t="shared" si="197"/>
        <v>0.40647188204051027</v>
      </c>
      <c r="CU93" s="39">
        <f t="shared" si="198"/>
        <v>0.40647188204051027</v>
      </c>
      <c r="CV93" s="39">
        <f t="shared" si="199"/>
        <v>0.40647188204051027</v>
      </c>
      <c r="CW93" s="39">
        <f t="shared" si="200"/>
        <v>0.40647188204051027</v>
      </c>
      <c r="CX93" s="39">
        <f t="shared" si="201"/>
        <v>0.40647188204051027</v>
      </c>
      <c r="CY93" s="39">
        <f t="shared" si="202"/>
        <v>0.40647188204051027</v>
      </c>
      <c r="CZ93" s="37">
        <f t="shared" si="203"/>
        <v>0.40647188204051027</v>
      </c>
      <c r="DB93" s="34"/>
      <c r="DC93" s="41">
        <v>3.6666666666666667E-2</v>
      </c>
      <c r="DD93" s="37">
        <f t="shared" si="204"/>
        <v>178.05843538784694</v>
      </c>
      <c r="DE93" s="39">
        <f t="shared" si="205"/>
        <v>174.444696501219</v>
      </c>
      <c r="DF93" s="39">
        <f t="shared" si="206"/>
        <v>170.82719217703686</v>
      </c>
      <c r="DG93" s="39">
        <f t="shared" si="207"/>
        <v>167.20219850399269</v>
      </c>
      <c r="DH93" s="39">
        <f t="shared" si="208"/>
        <v>163.56607415638783</v>
      </c>
      <c r="DI93" s="39">
        <f t="shared" si="209"/>
        <v>159.91530052537018</v>
      </c>
      <c r="DJ93" s="39">
        <f t="shared" si="210"/>
        <v>156.24652047200115</v>
      </c>
      <c r="DK93" s="39">
        <f t="shared" si="211"/>
        <v>152.55657526869174</v>
      </c>
      <c r="DL93" s="39">
        <f t="shared" si="212"/>
        <v>148.84253931727278</v>
      </c>
      <c r="DM93" s="39">
        <f t="shared" si="213"/>
        <v>145.10175225850364</v>
      </c>
      <c r="DN93" s="39">
        <f t="shared" si="214"/>
        <v>141.33184811879798</v>
      </c>
      <c r="DO93" s="39">
        <f t="shared" si="215"/>
        <v>137.53078117489963</v>
      </c>
      <c r="DP93" s="39">
        <f t="shared" si="216"/>
        <v>133.69684825568916</v>
      </c>
      <c r="DQ93" s="39">
        <f t="shared" si="217"/>
        <v>129.82870724170931</v>
      </c>
      <c r="DR93" s="39">
        <f t="shared" si="218"/>
        <v>125.92539156680544</v>
      </c>
      <c r="DS93" s="39">
        <f t="shared" si="219"/>
        <v>121.98632057191617</v>
      </c>
      <c r="DT93" s="39">
        <f t="shared" si="220"/>
        <v>118.01130560793366</v>
      </c>
      <c r="DU93" s="39">
        <f t="shared" si="221"/>
        <v>114.00055183211337</v>
      </c>
      <c r="DV93" s="39">
        <f t="shared" si="222"/>
        <v>109.95465569017949</v>
      </c>
      <c r="DW93" s="39">
        <f t="shared" si="223"/>
        <v>105.87459812351236</v>
      </c>
      <c r="DX93" s="39">
        <f t="shared" si="224"/>
        <v>101.76173358709178</v>
      </c>
      <c r="DY93" s="39">
        <f t="shared" si="225"/>
        <v>97.617775008734895</v>
      </c>
      <c r="DZ93" s="39">
        <f t="shared" si="226"/>
        <v>93.444774863156326</v>
      </c>
      <c r="EA93" s="39">
        <f t="shared" si="227"/>
        <v>89.245102575089945</v>
      </c>
      <c r="EB93" s="39">
        <f t="shared" si="228"/>
        <v>85.021418503780737</v>
      </c>
      <c r="EC93" s="39">
        <f t="shared" si="229"/>
        <v>80.776644796258509</v>
      </c>
      <c r="ED93" s="39">
        <f t="shared" si="230"/>
        <v>76.513933428659612</v>
      </c>
      <c r="EE93" s="39">
        <f t="shared" si="231"/>
        <v>72.236631783227651</v>
      </c>
      <c r="EF93" s="39">
        <f t="shared" si="232"/>
        <v>67.948246133291335</v>
      </c>
      <c r="EG93" s="39">
        <f t="shared" si="233"/>
        <v>63.652403429319151</v>
      </c>
      <c r="EH93" s="37">
        <f t="shared" si="234"/>
        <v>59.35281179594898</v>
      </c>
    </row>
    <row r="94" spans="5:138" x14ac:dyDescent="0.25">
      <c r="E94" s="32"/>
      <c r="F94" s="41">
        <v>3.3333333333333333E-2</v>
      </c>
      <c r="G94" s="50">
        <f t="shared" si="139"/>
        <v>300</v>
      </c>
      <c r="H94" s="51">
        <f t="shared" si="235"/>
        <v>293.91118863048001</v>
      </c>
      <c r="I94" s="51">
        <f t="shared" si="236"/>
        <v>287.8160357914353</v>
      </c>
      <c r="J94" s="51">
        <f t="shared" si="237"/>
        <v>281.70826994578783</v>
      </c>
      <c r="K94" s="51">
        <f t="shared" si="238"/>
        <v>275.58175863522536</v>
      </c>
      <c r="L94" s="51">
        <f t="shared" si="239"/>
        <v>269.43057606375919</v>
      </c>
      <c r="M94" s="51">
        <f t="shared" si="240"/>
        <v>263.24906836072904</v>
      </c>
      <c r="N94" s="51">
        <f t="shared" si="241"/>
        <v>257.03191579337232</v>
      </c>
      <c r="O94" s="51">
        <f t="shared" si="242"/>
        <v>250.77419123563661</v>
      </c>
      <c r="P94" s="51">
        <f t="shared" si="243"/>
        <v>244.47141424457897</v>
      </c>
      <c r="Q94" s="51">
        <f t="shared" si="244"/>
        <v>238.11960014782412</v>
      </c>
      <c r="R94" s="51">
        <f t="shared" si="245"/>
        <v>231.71530360438851</v>
      </c>
      <c r="S94" s="51">
        <f t="shared" si="246"/>
        <v>225.25565616588943</v>
      </c>
      <c r="T94" s="51">
        <f t="shared" si="247"/>
        <v>218.73839743486189</v>
      </c>
      <c r="U94" s="51">
        <f t="shared" si="248"/>
        <v>212.16189949065341</v>
      </c>
      <c r="V94" s="51">
        <f t="shared" si="249"/>
        <v>205.5251843302035</v>
      </c>
      <c r="W94" s="51">
        <f t="shared" si="250"/>
        <v>198.82793414995211</v>
      </c>
      <c r="X94" s="51">
        <f t="shared" si="251"/>
        <v>192.07049437520863</v>
      </c>
      <c r="Y94" s="51">
        <f t="shared" si="252"/>
        <v>185.2538694235808</v>
      </c>
      <c r="Z94" s="51">
        <f t="shared" si="253"/>
        <v>178.37971126862456</v>
      </c>
      <c r="AA94" s="51">
        <f t="shared" si="254"/>
        <v>171.45030094783783</v>
      </c>
      <c r="AB94" s="51">
        <f t="shared" si="255"/>
        <v>164.46852323469727</v>
      </c>
      <c r="AC94" s="51">
        <f t="shared" si="256"/>
        <v>157.43783476685624</v>
      </c>
      <c r="AD94" s="51">
        <f t="shared" si="257"/>
        <v>150.36222599121612</v>
      </c>
      <c r="AE94" s="51">
        <f t="shared" si="258"/>
        <v>143.24617735072727</v>
      </c>
      <c r="AF94" s="51">
        <f t="shared" si="259"/>
        <v>136.09461019692938</v>
      </c>
      <c r="AG94" s="51">
        <f t="shared" si="260"/>
        <v>128.91283296592493</v>
      </c>
      <c r="AH94" s="51">
        <f t="shared" si="261"/>
        <v>121.70648320328492</v>
      </c>
      <c r="AI94" s="51">
        <f t="shared" si="262"/>
        <v>114.48146606496357</v>
      </c>
      <c r="AJ94" s="51">
        <f t="shared" si="263"/>
        <v>107.24388995636228</v>
      </c>
      <c r="AK94" s="50">
        <f t="shared" si="141"/>
        <v>100</v>
      </c>
      <c r="AL94" s="21"/>
      <c r="AM94" s="41">
        <v>3.3333333333333333E-2</v>
      </c>
      <c r="AN94" s="37">
        <f t="shared" si="142"/>
        <v>-1076400000</v>
      </c>
      <c r="AO94" s="39">
        <f t="shared" si="143"/>
        <v>-1054553119.3408992</v>
      </c>
      <c r="AP94" s="39">
        <f t="shared" si="144"/>
        <v>-1032683488.0287143</v>
      </c>
      <c r="AQ94" s="39">
        <f t="shared" si="145"/>
        <v>-1010768606.2971164</v>
      </c>
      <c r="AR94" s="39">
        <f t="shared" si="146"/>
        <v>-988786473.33313346</v>
      </c>
      <c r="AS94" s="39">
        <f t="shared" si="147"/>
        <v>-966715829.73749626</v>
      </c>
      <c r="AT94" s="39">
        <f t="shared" si="148"/>
        <v>-944536391.66021264</v>
      </c>
      <c r="AU94" s="39">
        <f t="shared" si="149"/>
        <v>-922229073.99295902</v>
      </c>
      <c r="AV94" s="39">
        <f t="shared" si="150"/>
        <v>-899776200.13101518</v>
      </c>
      <c r="AW94" s="39">
        <f t="shared" si="151"/>
        <v>-877161695.97768748</v>
      </c>
      <c r="AX94" s="39">
        <f t="shared" si="152"/>
        <v>-854371266.05113745</v>
      </c>
      <c r="AY94" s="39">
        <f t="shared" si="153"/>
        <v>-831392549.76458502</v>
      </c>
      <c r="AZ94" s="39">
        <f t="shared" si="154"/>
        <v>-808215256.1829716</v>
      </c>
      <c r="BA94" s="39">
        <f t="shared" si="155"/>
        <v>-784831275.80921698</v>
      </c>
      <c r="BB94" s="39">
        <f t="shared" si="156"/>
        <v>-761234768.21773958</v>
      </c>
      <c r="BC94" s="39">
        <f t="shared" si="157"/>
        <v>-737422224.62854958</v>
      </c>
      <c r="BD94" s="39">
        <f t="shared" si="158"/>
        <v>-713392504.79840457</v>
      </c>
      <c r="BE94" s="39">
        <f t="shared" si="159"/>
        <v>-689146847.89281368</v>
      </c>
      <c r="BF94" s="39">
        <f t="shared" si="160"/>
        <v>-664688857.29065931</v>
      </c>
      <c r="BG94" s="39">
        <f t="shared" si="161"/>
        <v>-640024459.55861807</v>
      </c>
      <c r="BH94" s="39">
        <f t="shared" si="162"/>
        <v>-615161838.11229098</v>
      </c>
      <c r="BI94" s="39">
        <f t="shared" si="163"/>
        <v>-590111342.35208809</v>
      </c>
      <c r="BJ94" s="39">
        <f t="shared" si="164"/>
        <v>-564885373.3217566</v>
      </c>
      <c r="BK94" s="39">
        <f t="shared" si="165"/>
        <v>-539498247.18354833</v>
      </c>
      <c r="BL94" s="39">
        <f t="shared" si="166"/>
        <v>-513966038.03418386</v>
      </c>
      <c r="BM94" s="39">
        <f t="shared" si="167"/>
        <v>-488306401.79801702</v>
      </c>
      <c r="BN94" s="39">
        <f t="shared" si="168"/>
        <v>-462538383.12643999</v>
      </c>
      <c r="BO94" s="39">
        <f t="shared" si="169"/>
        <v>-436682207.40410924</v>
      </c>
      <c r="BP94" s="39">
        <f t="shared" si="170"/>
        <v>-410759060.11176795</v>
      </c>
      <c r="BQ94" s="39">
        <f t="shared" si="171"/>
        <v>-384790855.92126679</v>
      </c>
      <c r="BR94" s="37">
        <f t="shared" si="172"/>
        <v>-358800000</v>
      </c>
      <c r="BT94" s="34"/>
      <c r="BU94" s="41">
        <v>3.3333333333333333E-2</v>
      </c>
      <c r="BV94" s="37">
        <f t="shared" si="173"/>
        <v>0.40647189260272093</v>
      </c>
      <c r="BW94" s="39">
        <f t="shared" si="174"/>
        <v>0.40647189260272093</v>
      </c>
      <c r="BX94" s="39">
        <f t="shared" si="175"/>
        <v>0.40647189260272093</v>
      </c>
      <c r="BY94" s="39">
        <f t="shared" si="176"/>
        <v>0.40647189260272093</v>
      </c>
      <c r="BZ94" s="39">
        <f t="shared" si="177"/>
        <v>0.40647189260272093</v>
      </c>
      <c r="CA94" s="39">
        <f t="shared" si="178"/>
        <v>0.40647189260272093</v>
      </c>
      <c r="CB94" s="39">
        <f t="shared" si="179"/>
        <v>0.40647189260272093</v>
      </c>
      <c r="CC94" s="39">
        <f t="shared" si="180"/>
        <v>0.40647189260272093</v>
      </c>
      <c r="CD94" s="39">
        <f t="shared" si="181"/>
        <v>0.40647189260272093</v>
      </c>
      <c r="CE94" s="39">
        <f t="shared" si="182"/>
        <v>0.40647189260272093</v>
      </c>
      <c r="CF94" s="39">
        <f t="shared" si="183"/>
        <v>0.40647189260272093</v>
      </c>
      <c r="CG94" s="39">
        <f t="shared" si="184"/>
        <v>0.40647189260272093</v>
      </c>
      <c r="CH94" s="39">
        <f t="shared" si="185"/>
        <v>0.40647189260272093</v>
      </c>
      <c r="CI94" s="39">
        <f t="shared" si="186"/>
        <v>0.40647189260272093</v>
      </c>
      <c r="CJ94" s="39">
        <f t="shared" si="187"/>
        <v>0.40647189260272093</v>
      </c>
      <c r="CK94" s="39">
        <f t="shared" si="188"/>
        <v>0.40647189260272093</v>
      </c>
      <c r="CL94" s="39">
        <f t="shared" si="189"/>
        <v>0.40647189260272093</v>
      </c>
      <c r="CM94" s="39">
        <f t="shared" si="190"/>
        <v>0.40647189260272093</v>
      </c>
      <c r="CN94" s="39">
        <f t="shared" si="191"/>
        <v>0.40647189260272093</v>
      </c>
      <c r="CO94" s="39">
        <f t="shared" si="192"/>
        <v>0.40647189260272093</v>
      </c>
      <c r="CP94" s="39">
        <f t="shared" si="193"/>
        <v>0.40647189260272093</v>
      </c>
      <c r="CQ94" s="39">
        <f t="shared" si="194"/>
        <v>0.40647189260272093</v>
      </c>
      <c r="CR94" s="39">
        <f t="shared" si="195"/>
        <v>0.40647189260272093</v>
      </c>
      <c r="CS94" s="39">
        <f t="shared" si="196"/>
        <v>0.40647189260272093</v>
      </c>
      <c r="CT94" s="39">
        <f t="shared" si="197"/>
        <v>0.40647189260272093</v>
      </c>
      <c r="CU94" s="39">
        <f t="shared" si="198"/>
        <v>0.40647189260272093</v>
      </c>
      <c r="CV94" s="39">
        <f t="shared" si="199"/>
        <v>0.40647189260272093</v>
      </c>
      <c r="CW94" s="39">
        <f t="shared" si="200"/>
        <v>0.40647189260272093</v>
      </c>
      <c r="CX94" s="39">
        <f t="shared" si="201"/>
        <v>0.40647189260272093</v>
      </c>
      <c r="CY94" s="39">
        <f t="shared" si="202"/>
        <v>0.40647189260272093</v>
      </c>
      <c r="CZ94" s="37">
        <f t="shared" si="203"/>
        <v>0.40647189260272093</v>
      </c>
      <c r="DB94" s="34"/>
      <c r="DC94" s="41">
        <v>3.3333333333333333E-2</v>
      </c>
      <c r="DD94" s="37">
        <f t="shared" si="204"/>
        <v>178.05843221918371</v>
      </c>
      <c r="DE94" s="39">
        <f t="shared" si="205"/>
        <v>174.44420393779527</v>
      </c>
      <c r="DF94" s="39">
        <f t="shared" si="206"/>
        <v>170.82621572941568</v>
      </c>
      <c r="DG94" s="39">
        <f t="shared" si="207"/>
        <v>167.20074912644208</v>
      </c>
      <c r="DH94" s="39">
        <f t="shared" si="208"/>
        <v>163.56416811418231</v>
      </c>
      <c r="DI94" s="39">
        <f t="shared" si="209"/>
        <v>159.91295919826393</v>
      </c>
      <c r="DJ94" s="39">
        <f t="shared" si="210"/>
        <v>156.24377009683167</v>
      </c>
      <c r="DK94" s="39">
        <f t="shared" si="211"/>
        <v>152.55344662495244</v>
      </c>
      <c r="DL94" s="39">
        <f t="shared" si="212"/>
        <v>148.83906736028439</v>
      </c>
      <c r="DM94" s="39">
        <f t="shared" si="213"/>
        <v>145.09797570550359</v>
      </c>
      <c r="DN94" s="39">
        <f t="shared" si="214"/>
        <v>141.3278089938392</v>
      </c>
      <c r="DO94" s="39">
        <f t="shared" si="215"/>
        <v>137.52652431890021</v>
      </c>
      <c r="DP94" s="39">
        <f t="shared" si="216"/>
        <v>133.69242080829261</v>
      </c>
      <c r="DQ94" s="39">
        <f t="shared" si="217"/>
        <v>129.82415810180635</v>
      </c>
      <c r="DR94" s="39">
        <f t="shared" si="218"/>
        <v>125.9207708386311</v>
      </c>
      <c r="DS94" s="39">
        <f t="shared" si="219"/>
        <v>121.98167900358105</v>
      </c>
      <c r="DT94" s="39">
        <f t="shared" si="220"/>
        <v>118.00669402908237</v>
      </c>
      <c r="DU94" s="39">
        <f t="shared" si="221"/>
        <v>113.99602059714218</v>
      </c>
      <c r="DV94" s="39">
        <f t="shared" si="222"/>
        <v>109.95025413310212</v>
      </c>
      <c r="DW94" s="39">
        <f t="shared" si="223"/>
        <v>105.87037403015339</v>
      </c>
      <c r="DX94" s="39">
        <f t="shared" si="224"/>
        <v>101.75773268983009</v>
      </c>
      <c r="DY94" s="39">
        <f t="shared" si="225"/>
        <v>97.614040508529655</v>
      </c>
      <c r="DZ94" s="39">
        <f t="shared" si="226"/>
        <v>93.441346983081331</v>
      </c>
      <c r="EA94" s="39">
        <f t="shared" si="227"/>
        <v>89.242018149094449</v>
      </c>
      <c r="EB94" s="39">
        <f t="shared" si="228"/>
        <v>85.018710603897262</v>
      </c>
      <c r="EC94" s="39">
        <f t="shared" si="229"/>
        <v>80.77434240100078</v>
      </c>
      <c r="ED94" s="39">
        <f t="shared" si="230"/>
        <v>76.512061134905522</v>
      </c>
      <c r="EE94" s="39">
        <f t="shared" si="231"/>
        <v>72.235209563465929</v>
      </c>
      <c r="EF94" s="39">
        <f t="shared" si="232"/>
        <v>67.947289139729605</v>
      </c>
      <c r="EG94" s="39">
        <f t="shared" si="233"/>
        <v>63.651921846003503</v>
      </c>
      <c r="EH94" s="37">
        <f t="shared" si="234"/>
        <v>59.352810739727914</v>
      </c>
    </row>
    <row r="95" spans="5:138" x14ac:dyDescent="0.25">
      <c r="E95" s="32"/>
      <c r="F95" s="41">
        <v>3.0000000000000002E-2</v>
      </c>
      <c r="G95" s="50">
        <f t="shared" si="139"/>
        <v>300</v>
      </c>
      <c r="H95" s="51">
        <f t="shared" si="235"/>
        <v>293.9103879443806</v>
      </c>
      <c r="I95" s="51">
        <f t="shared" si="236"/>
        <v>287.81444343357401</v>
      </c>
      <c r="J95" s="51">
        <f t="shared" si="237"/>
        <v>281.70590383547363</v>
      </c>
      <c r="K95" s="51">
        <f t="shared" si="238"/>
        <v>275.5786453796714</v>
      </c>
      <c r="L95" s="51">
        <f t="shared" si="239"/>
        <v>269.42675063660482</v>
      </c>
      <c r="M95" s="51">
        <f t="shared" si="240"/>
        <v>263.24457368099183</v>
      </c>
      <c r="N95" s="51">
        <f t="shared" si="241"/>
        <v>257.02680221110802</v>
      </c>
      <c r="O95" s="51">
        <f t="shared" si="242"/>
        <v>250.76851593188019</v>
      </c>
      <c r="P95" s="51">
        <f t="shared" si="243"/>
        <v>244.4652405542675</v>
      </c>
      <c r="Q95" s="51">
        <f t="shared" si="244"/>
        <v>238.11299681533893</v>
      </c>
      <c r="R95" s="51">
        <f t="shared" si="245"/>
        <v>231.70834398208814</v>
      </c>
      <c r="S95" s="51">
        <f t="shared" si="246"/>
        <v>225.24841736652843</v>
      </c>
      <c r="T95" s="51">
        <f t="shared" si="247"/>
        <v>218.73095944910096</v>
      </c>
      <c r="U95" s="51">
        <f t="shared" si="248"/>
        <v>212.15434428097109</v>
      </c>
      <c r="V95" s="51">
        <f t="shared" si="249"/>
        <v>205.51759491242774</v>
      </c>
      <c r="W95" s="51">
        <f t="shared" si="250"/>
        <v>198.82039367336165</v>
      </c>
      <c r="X95" s="51">
        <f t="shared" si="251"/>
        <v>192.06308521172477</v>
      </c>
      <c r="Y95" s="51">
        <f t="shared" si="252"/>
        <v>185.2466722760106</v>
      </c>
      <c r="Z95" s="51">
        <f t="shared" si="253"/>
        <v>178.3728043072461</v>
      </c>
      <c r="AA95" s="51">
        <f t="shared" si="254"/>
        <v>171.44375898387125</v>
      </c>
      <c r="AB95" s="51">
        <f t="shared" si="255"/>
        <v>164.46241693840273</v>
      </c>
      <c r="AC95" s="51">
        <f t="shared" si="256"/>
        <v>157.43222993717336</v>
      </c>
      <c r="AD95" s="51">
        <f t="shared" si="257"/>
        <v>150.35718288302695</v>
      </c>
      <c r="AE95" s="51">
        <f t="shared" si="258"/>
        <v>143.24175006501144</v>
      </c>
      <c r="AF95" s="51">
        <f t="shared" si="259"/>
        <v>136.09084613830018</v>
      </c>
      <c r="AG95" s="51">
        <f t="shared" si="260"/>
        <v>128.90977237130051</v>
      </c>
      <c r="AH95" s="51">
        <f t="shared" si="261"/>
        <v>121.70415874476882</v>
      </c>
      <c r="AI95" s="51">
        <f t="shared" si="262"/>
        <v>114.47990252938497</v>
      </c>
      <c r="AJ95" s="51">
        <f t="shared" si="263"/>
        <v>107.24310400335779</v>
      </c>
      <c r="AK95" s="50">
        <f t="shared" si="141"/>
        <v>100</v>
      </c>
      <c r="AL95" s="21"/>
      <c r="AM95" s="41">
        <v>3.0000000000000002E-2</v>
      </c>
      <c r="AN95" s="37">
        <f t="shared" si="142"/>
        <v>-1076400000</v>
      </c>
      <c r="AO95" s="39">
        <f t="shared" si="143"/>
        <v>-1054550207.9926103</v>
      </c>
      <c r="AP95" s="39">
        <f t="shared" si="144"/>
        <v>-1032677698.1086287</v>
      </c>
      <c r="AQ95" s="39">
        <f t="shared" si="145"/>
        <v>-1010760002.9605696</v>
      </c>
      <c r="AR95" s="39">
        <f t="shared" si="146"/>
        <v>-988775153.32505834</v>
      </c>
      <c r="AS95" s="39">
        <f t="shared" si="147"/>
        <v>-966701920.22354639</v>
      </c>
      <c r="AT95" s="39">
        <f t="shared" si="148"/>
        <v>-944520048.69585037</v>
      </c>
      <c r="AU95" s="39">
        <f t="shared" si="149"/>
        <v>-922210480.65333474</v>
      </c>
      <c r="AV95" s="39">
        <f t="shared" si="150"/>
        <v>-899755564.32917368</v>
      </c>
      <c r="AW95" s="39">
        <f t="shared" si="151"/>
        <v>-877139248.00273192</v>
      </c>
      <c r="AX95" s="39">
        <f t="shared" si="152"/>
        <v>-854347255.86139214</v>
      </c>
      <c r="AY95" s="39">
        <f t="shared" si="153"/>
        <v>-831367244.07346487</v>
      </c>
      <c r="AZ95" s="39">
        <f t="shared" si="154"/>
        <v>-808188935.37717259</v>
      </c>
      <c r="BA95" s="39">
        <f t="shared" si="155"/>
        <v>-784804230.73996556</v>
      </c>
      <c r="BB95" s="39">
        <f t="shared" si="156"/>
        <v>-761207296.90622711</v>
      </c>
      <c r="BC95" s="39">
        <f t="shared" si="157"/>
        <v>-737394628.92633832</v>
      </c>
      <c r="BD95" s="39">
        <f t="shared" si="158"/>
        <v>-713365087.04261982</v>
      </c>
      <c r="BE95" s="39">
        <f t="shared" si="159"/>
        <v>-689119907.59437633</v>
      </c>
      <c r="BF95" s="39">
        <f t="shared" si="160"/>
        <v>-664662687.89177442</v>
      </c>
      <c r="BG95" s="39">
        <f t="shared" si="161"/>
        <v>-639999345.29330528</v>
      </c>
      <c r="BH95" s="39">
        <f t="shared" si="162"/>
        <v>-615138051.00102162</v>
      </c>
      <c r="BI95" s="39">
        <f t="shared" si="163"/>
        <v>-590089139.35867906</v>
      </c>
      <c r="BJ95" s="39">
        <f t="shared" si="164"/>
        <v>-564864993.69766366</v>
      </c>
      <c r="BK95" s="39">
        <f t="shared" si="165"/>
        <v>-539479910.02167833</v>
      </c>
      <c r="BL95" s="39">
        <f t="shared" si="166"/>
        <v>-513949940.05138415</v>
      </c>
      <c r="BM95" s="39">
        <f t="shared" si="167"/>
        <v>-488292715.36256719</v>
      </c>
      <c r="BN95" s="39">
        <f t="shared" si="168"/>
        <v>-462527254.54419971</v>
      </c>
      <c r="BO95" s="39">
        <f t="shared" si="169"/>
        <v>-436673755.4745028</v>
      </c>
      <c r="BP95" s="39">
        <f t="shared" si="170"/>
        <v>-410753374.96251678</v>
      </c>
      <c r="BQ95" s="39">
        <f t="shared" si="171"/>
        <v>-384787998.12871689</v>
      </c>
      <c r="BR95" s="37">
        <f t="shared" si="172"/>
        <v>-358800000</v>
      </c>
      <c r="BT95" s="34"/>
      <c r="BU95" s="41">
        <v>3.0000000000000002E-2</v>
      </c>
      <c r="BV95" s="37">
        <f t="shared" si="173"/>
        <v>0.40647195653111551</v>
      </c>
      <c r="BW95" s="39">
        <f t="shared" si="174"/>
        <v>0.40647195653111551</v>
      </c>
      <c r="BX95" s="39">
        <f t="shared" si="175"/>
        <v>0.40647195653111551</v>
      </c>
      <c r="BY95" s="39">
        <f t="shared" si="176"/>
        <v>0.40647195653111551</v>
      </c>
      <c r="BZ95" s="39">
        <f t="shared" si="177"/>
        <v>0.40647195653111551</v>
      </c>
      <c r="CA95" s="39">
        <f t="shared" si="178"/>
        <v>0.40647195653111551</v>
      </c>
      <c r="CB95" s="39">
        <f t="shared" si="179"/>
        <v>0.40647195653111551</v>
      </c>
      <c r="CC95" s="39">
        <f t="shared" si="180"/>
        <v>0.40647195653111551</v>
      </c>
      <c r="CD95" s="39">
        <f t="shared" si="181"/>
        <v>0.40647195653111551</v>
      </c>
      <c r="CE95" s="39">
        <f t="shared" si="182"/>
        <v>0.40647195653111551</v>
      </c>
      <c r="CF95" s="39">
        <f t="shared" si="183"/>
        <v>0.40647195653111551</v>
      </c>
      <c r="CG95" s="39">
        <f t="shared" si="184"/>
        <v>0.40647195653111551</v>
      </c>
      <c r="CH95" s="39">
        <f t="shared" si="185"/>
        <v>0.40647195653111551</v>
      </c>
      <c r="CI95" s="39">
        <f t="shared" si="186"/>
        <v>0.40647195653111551</v>
      </c>
      <c r="CJ95" s="39">
        <f t="shared" si="187"/>
        <v>0.40647195653111551</v>
      </c>
      <c r="CK95" s="39">
        <f t="shared" si="188"/>
        <v>0.40647195653111551</v>
      </c>
      <c r="CL95" s="39">
        <f t="shared" si="189"/>
        <v>0.40647195653111551</v>
      </c>
      <c r="CM95" s="39">
        <f t="shared" si="190"/>
        <v>0.40647195653111551</v>
      </c>
      <c r="CN95" s="39">
        <f t="shared" si="191"/>
        <v>0.40647195653111551</v>
      </c>
      <c r="CO95" s="39">
        <f t="shared" si="192"/>
        <v>0.40647195653111551</v>
      </c>
      <c r="CP95" s="39">
        <f t="shared" si="193"/>
        <v>0.40647195653111551</v>
      </c>
      <c r="CQ95" s="39">
        <f t="shared" si="194"/>
        <v>0.40647195653111551</v>
      </c>
      <c r="CR95" s="39">
        <f t="shared" si="195"/>
        <v>0.40647195653111551</v>
      </c>
      <c r="CS95" s="39">
        <f t="shared" si="196"/>
        <v>0.40647195653111551</v>
      </c>
      <c r="CT95" s="39">
        <f t="shared" si="197"/>
        <v>0.40647195653111551</v>
      </c>
      <c r="CU95" s="39">
        <f t="shared" si="198"/>
        <v>0.40647195653111551</v>
      </c>
      <c r="CV95" s="39">
        <f t="shared" si="199"/>
        <v>0.40647195653111551</v>
      </c>
      <c r="CW95" s="39">
        <f t="shared" si="200"/>
        <v>0.40647195653111551</v>
      </c>
      <c r="CX95" s="39">
        <f t="shared" si="201"/>
        <v>0.40647195653111551</v>
      </c>
      <c r="CY95" s="39">
        <f t="shared" si="202"/>
        <v>0.40647195653111551</v>
      </c>
      <c r="CZ95" s="37">
        <f t="shared" si="203"/>
        <v>0.40647195653111551</v>
      </c>
      <c r="DB95" s="34"/>
      <c r="DC95" s="41">
        <v>3.0000000000000002E-2</v>
      </c>
      <c r="DD95" s="37">
        <f t="shared" si="204"/>
        <v>178.05841304066536</v>
      </c>
      <c r="DE95" s="39">
        <f t="shared" si="205"/>
        <v>174.44373205536363</v>
      </c>
      <c r="DF95" s="39">
        <f t="shared" si="206"/>
        <v>170.82529624439974</v>
      </c>
      <c r="DG95" s="39">
        <f t="shared" si="207"/>
        <v>167.19939217961362</v>
      </c>
      <c r="DH95" s="39">
        <f t="shared" si="208"/>
        <v>163.56238876292571</v>
      </c>
      <c r="DI95" s="39">
        <f t="shared" si="209"/>
        <v>159.9107772346631</v>
      </c>
      <c r="DJ95" s="39">
        <f t="shared" si="210"/>
        <v>156.24120980941294</v>
      </c>
      <c r="DK95" s="39">
        <f t="shared" si="211"/>
        <v>152.55053650763506</v>
      </c>
      <c r="DL95" s="39">
        <f t="shared" si="212"/>
        <v>148.83583977282285</v>
      </c>
      <c r="DM95" s="39">
        <f t="shared" si="213"/>
        <v>145.09446649034467</v>
      </c>
      <c r="DN95" s="39">
        <f t="shared" si="214"/>
        <v>141.32405705484595</v>
      </c>
      <c r="DO95" s="39">
        <f t="shared" si="215"/>
        <v>137.5225711678109</v>
      </c>
      <c r="DP95" s="39">
        <f t="shared" si="216"/>
        <v>133.68831008507911</v>
      </c>
      <c r="DQ95" s="39">
        <f t="shared" si="217"/>
        <v>129.8199350752719</v>
      </c>
      <c r="DR95" s="39">
        <f t="shared" si="218"/>
        <v>125.91648189364733</v>
      </c>
      <c r="DS95" s="39">
        <f t="shared" si="219"/>
        <v>121.97737112131178</v>
      </c>
      <c r="DT95" s="39">
        <f t="shared" si="220"/>
        <v>118.00241426639082</v>
      </c>
      <c r="DU95" s="39">
        <f t="shared" si="221"/>
        <v>113.99181557113511</v>
      </c>
      <c r="DV95" s="39">
        <f t="shared" si="222"/>
        <v>109.94616951644794</v>
      </c>
      <c r="DW95" s="39">
        <f t="shared" si="223"/>
        <v>105.86645406243282</v>
      </c>
      <c r="DX95" s="39">
        <f t="shared" si="224"/>
        <v>101.75401970975503</v>
      </c>
      <c r="DY95" s="39">
        <f t="shared" si="225"/>
        <v>97.610574511412096</v>
      </c>
      <c r="DZ95" s="39">
        <f t="shared" si="226"/>
        <v>93.438165207466838</v>
      </c>
      <c r="EA95" s="39">
        <f t="shared" si="227"/>
        <v>89.239154696003581</v>
      </c>
      <c r="EB95" s="39">
        <f t="shared" si="228"/>
        <v>85.016196091658173</v>
      </c>
      <c r="EC95" s="39">
        <f t="shared" si="229"/>
        <v>80.772203658214792</v>
      </c>
      <c r="ED95" s="39">
        <f t="shared" si="230"/>
        <v>76.510320933672105</v>
      </c>
      <c r="EE95" s="39">
        <f t="shared" si="231"/>
        <v>72.233886394608248</v>
      </c>
      <c r="EF95" s="39">
        <f t="shared" si="232"/>
        <v>67.946397031408722</v>
      </c>
      <c r="EG95" s="39">
        <f t="shared" si="233"/>
        <v>63.651470226787552</v>
      </c>
      <c r="EH95" s="37">
        <f t="shared" si="234"/>
        <v>59.352804346888455</v>
      </c>
    </row>
    <row r="96" spans="5:138" x14ac:dyDescent="0.25">
      <c r="E96" s="32"/>
      <c r="F96" s="41">
        <v>2.6666666666666668E-2</v>
      </c>
      <c r="G96" s="50">
        <f t="shared" si="139"/>
        <v>300</v>
      </c>
      <c r="H96" s="51">
        <f t="shared" si="235"/>
        <v>293.90965101476115</v>
      </c>
      <c r="I96" s="51">
        <f t="shared" si="236"/>
        <v>287.81297787064864</v>
      </c>
      <c r="J96" s="51">
        <f t="shared" si="237"/>
        <v>281.70372613122464</v>
      </c>
      <c r="K96" s="51">
        <f t="shared" si="238"/>
        <v>275.5757800219925</v>
      </c>
      <c r="L96" s="51">
        <f t="shared" si="239"/>
        <v>269.42322981345814</v>
      </c>
      <c r="M96" s="51">
        <f t="shared" si="240"/>
        <v>263.24043689293308</v>
      </c>
      <c r="N96" s="51">
        <f t="shared" si="241"/>
        <v>257.0220957979551</v>
      </c>
      <c r="O96" s="51">
        <f t="shared" si="242"/>
        <v>250.76329252049391</v>
      </c>
      <c r="P96" s="51">
        <f t="shared" si="243"/>
        <v>244.4595584354488</v>
      </c>
      <c r="Q96" s="51">
        <f t="shared" si="244"/>
        <v>238.10691925870978</v>
      </c>
      <c r="R96" s="51">
        <f t="shared" si="245"/>
        <v>231.70193849849966</v>
      </c>
      <c r="S96" s="51">
        <f t="shared" si="246"/>
        <v>225.24175492802038</v>
      </c>
      <c r="T96" s="51">
        <f t="shared" si="247"/>
        <v>218.72411367672373</v>
      </c>
      <c r="U96" s="51">
        <f t="shared" si="248"/>
        <v>212.14739061087749</v>
      </c>
      <c r="V96" s="51">
        <f t="shared" si="249"/>
        <v>205.51060975055839</v>
      </c>
      <c r="W96" s="51">
        <f t="shared" si="250"/>
        <v>198.81345354880057</v>
      </c>
      <c r="X96" s="51">
        <f t="shared" si="251"/>
        <v>192.0562659384081</v>
      </c>
      <c r="Y96" s="51">
        <f t="shared" si="252"/>
        <v>185.24004813195535</v>
      </c>
      <c r="Z96" s="51">
        <f t="shared" si="253"/>
        <v>178.36644723985171</v>
      </c>
      <c r="AA96" s="51">
        <f t="shared" si="254"/>
        <v>171.43773784915788</v>
      </c>
      <c r="AB96" s="51">
        <f t="shared" si="255"/>
        <v>164.45679678131347</v>
      </c>
      <c r="AC96" s="51">
        <f t="shared" si="256"/>
        <v>157.42707131930555</v>
      </c>
      <c r="AD96" s="51">
        <f t="shared" si="257"/>
        <v>150.3525412633939</v>
      </c>
      <c r="AE96" s="51">
        <f t="shared" si="258"/>
        <v>143.23767523868619</v>
      </c>
      <c r="AF96" s="51">
        <f t="shared" si="259"/>
        <v>136.0873817370753</v>
      </c>
      <c r="AG96" s="51">
        <f t="shared" si="260"/>
        <v>128.90695542982255</v>
      </c>
      <c r="AH96" s="51">
        <f t="shared" si="261"/>
        <v>121.70201933497921</v>
      </c>
      <c r="AI96" s="51">
        <f t="shared" si="262"/>
        <v>114.47846346552534</v>
      </c>
      <c r="AJ96" s="51">
        <f t="shared" si="263"/>
        <v>107.24238061927377</v>
      </c>
      <c r="AK96" s="50">
        <f t="shared" si="141"/>
        <v>100</v>
      </c>
      <c r="AL96" s="21"/>
      <c r="AM96" s="41">
        <v>2.6666666666666668E-2</v>
      </c>
      <c r="AN96" s="37">
        <f t="shared" si="142"/>
        <v>-1076400000</v>
      </c>
      <c r="AO96" s="39">
        <f t="shared" si="143"/>
        <v>-1054547528.5205297</v>
      </c>
      <c r="AP96" s="39">
        <f t="shared" si="144"/>
        <v>-1032672369.32956</v>
      </c>
      <c r="AQ96" s="39">
        <f t="shared" si="145"/>
        <v>-1010752084.8387687</v>
      </c>
      <c r="AR96" s="39">
        <f t="shared" si="146"/>
        <v>-988764734.89765525</v>
      </c>
      <c r="AS96" s="39">
        <f t="shared" si="147"/>
        <v>-966689118.52490151</v>
      </c>
      <c r="AT96" s="39">
        <f t="shared" si="148"/>
        <v>-944505007.34874809</v>
      </c>
      <c r="AU96" s="39">
        <f t="shared" si="149"/>
        <v>-922193368.14801216</v>
      </c>
      <c r="AV96" s="39">
        <f t="shared" si="150"/>
        <v>-899736572.01551783</v>
      </c>
      <c r="AW96" s="39">
        <f t="shared" si="151"/>
        <v>-877118587.82474577</v>
      </c>
      <c r="AX96" s="39">
        <f t="shared" si="152"/>
        <v>-854325157.86617255</v>
      </c>
      <c r="AY96" s="39">
        <f t="shared" si="153"/>
        <v>-831343953.72938287</v>
      </c>
      <c r="AZ96" s="39">
        <f t="shared" si="154"/>
        <v>-808164710.73770511</v>
      </c>
      <c r="BA96" s="39">
        <f t="shared" si="155"/>
        <v>-784779339.49066639</v>
      </c>
      <c r="BB96" s="39">
        <f t="shared" si="156"/>
        <v>-761182013.33267391</v>
      </c>
      <c r="BC96" s="39">
        <f t="shared" si="157"/>
        <v>-737369230.84059429</v>
      </c>
      <c r="BD96" s="39">
        <f t="shared" si="158"/>
        <v>-713339852.70484483</v>
      </c>
      <c r="BE96" s="39">
        <f t="shared" si="159"/>
        <v>-689095112.66479492</v>
      </c>
      <c r="BF96" s="39">
        <f t="shared" si="160"/>
        <v>-664638602.44633162</v>
      </c>
      <c r="BG96" s="39">
        <f t="shared" si="161"/>
        <v>-639976230.93410921</v>
      </c>
      <c r="BH96" s="39">
        <f t="shared" si="162"/>
        <v>-615116158.09016705</v>
      </c>
      <c r="BI96" s="39">
        <f t="shared" si="163"/>
        <v>-590068704.40136755</v>
      </c>
      <c r="BJ96" s="39">
        <f t="shared" si="164"/>
        <v>-564846236.89776862</v>
      </c>
      <c r="BK96" s="39">
        <f t="shared" si="165"/>
        <v>-539463033.03012216</v>
      </c>
      <c r="BL96" s="39">
        <f t="shared" si="166"/>
        <v>-513935123.92497146</v>
      </c>
      <c r="BM96" s="39">
        <f t="shared" si="167"/>
        <v>-488280118.74830902</v>
      </c>
      <c r="BN96" s="39">
        <f t="shared" si="168"/>
        <v>-462517012.10170746</v>
      </c>
      <c r="BO96" s="39">
        <f t="shared" si="169"/>
        <v>-436665976.54675031</v>
      </c>
      <c r="BP96" s="39">
        <f t="shared" si="170"/>
        <v>-410748142.50318462</v>
      </c>
      <c r="BQ96" s="39">
        <f t="shared" si="171"/>
        <v>-384785367.89242494</v>
      </c>
      <c r="BR96" s="37">
        <f t="shared" si="172"/>
        <v>-358800000</v>
      </c>
      <c r="BT96" s="34"/>
      <c r="BU96" s="41">
        <v>2.6666666666666668E-2</v>
      </c>
      <c r="BV96" s="37">
        <f t="shared" si="173"/>
        <v>0.40647234346137129</v>
      </c>
      <c r="BW96" s="39">
        <f t="shared" si="174"/>
        <v>0.40647234346137129</v>
      </c>
      <c r="BX96" s="39">
        <f t="shared" si="175"/>
        <v>0.40647234346137129</v>
      </c>
      <c r="BY96" s="39">
        <f t="shared" si="176"/>
        <v>0.40647234346137129</v>
      </c>
      <c r="BZ96" s="39">
        <f t="shared" si="177"/>
        <v>0.40647234346137129</v>
      </c>
      <c r="CA96" s="39">
        <f t="shared" si="178"/>
        <v>0.40647234346137129</v>
      </c>
      <c r="CB96" s="39">
        <f t="shared" si="179"/>
        <v>0.40647234346137129</v>
      </c>
      <c r="CC96" s="39">
        <f t="shared" si="180"/>
        <v>0.40647234346137129</v>
      </c>
      <c r="CD96" s="39">
        <f t="shared" si="181"/>
        <v>0.40647234346137129</v>
      </c>
      <c r="CE96" s="39">
        <f t="shared" si="182"/>
        <v>0.40647234346137129</v>
      </c>
      <c r="CF96" s="39">
        <f t="shared" si="183"/>
        <v>0.40647234346137129</v>
      </c>
      <c r="CG96" s="39">
        <f t="shared" si="184"/>
        <v>0.40647234346137129</v>
      </c>
      <c r="CH96" s="39">
        <f t="shared" si="185"/>
        <v>0.40647234346137129</v>
      </c>
      <c r="CI96" s="39">
        <f t="shared" si="186"/>
        <v>0.40647234346137129</v>
      </c>
      <c r="CJ96" s="39">
        <f t="shared" si="187"/>
        <v>0.40647234346137129</v>
      </c>
      <c r="CK96" s="39">
        <f t="shared" si="188"/>
        <v>0.40647234346137129</v>
      </c>
      <c r="CL96" s="39">
        <f t="shared" si="189"/>
        <v>0.40647234346137129</v>
      </c>
      <c r="CM96" s="39">
        <f t="shared" si="190"/>
        <v>0.40647234346137129</v>
      </c>
      <c r="CN96" s="39">
        <f t="shared" si="191"/>
        <v>0.40647234346137129</v>
      </c>
      <c r="CO96" s="39">
        <f t="shared" si="192"/>
        <v>0.40647234346137129</v>
      </c>
      <c r="CP96" s="39">
        <f t="shared" si="193"/>
        <v>0.40647234346137129</v>
      </c>
      <c r="CQ96" s="39">
        <f t="shared" si="194"/>
        <v>0.40647234346137129</v>
      </c>
      <c r="CR96" s="39">
        <f t="shared" si="195"/>
        <v>0.40647234346137129</v>
      </c>
      <c r="CS96" s="39">
        <f t="shared" si="196"/>
        <v>0.40647234346137129</v>
      </c>
      <c r="CT96" s="39">
        <f t="shared" si="197"/>
        <v>0.40647234346137129</v>
      </c>
      <c r="CU96" s="39">
        <f t="shared" si="198"/>
        <v>0.40647234346137129</v>
      </c>
      <c r="CV96" s="39">
        <f t="shared" si="199"/>
        <v>0.40647234346137129</v>
      </c>
      <c r="CW96" s="39">
        <f t="shared" si="200"/>
        <v>0.40647234346137129</v>
      </c>
      <c r="CX96" s="39">
        <f t="shared" si="201"/>
        <v>0.40647234346137129</v>
      </c>
      <c r="CY96" s="39">
        <f t="shared" si="202"/>
        <v>0.40647234346137129</v>
      </c>
      <c r="CZ96" s="37">
        <f t="shared" si="203"/>
        <v>0.40647234346137129</v>
      </c>
      <c r="DB96" s="34"/>
      <c r="DC96" s="41">
        <v>2.6666666666666668E-2</v>
      </c>
      <c r="DD96" s="37">
        <f t="shared" si="204"/>
        <v>178.05829696158864</v>
      </c>
      <c r="DE96" s="39">
        <f t="shared" si="205"/>
        <v>174.44320685936802</v>
      </c>
      <c r="DF96" s="39">
        <f t="shared" si="206"/>
        <v>170.82436656617355</v>
      </c>
      <c r="DG96" s="39">
        <f t="shared" si="207"/>
        <v>167.19806723231599</v>
      </c>
      <c r="DH96" s="39">
        <f t="shared" si="208"/>
        <v>163.56068222660724</v>
      </c>
      <c r="DI96" s="39">
        <f t="shared" si="209"/>
        <v>159.90870709101486</v>
      </c>
      <c r="DJ96" s="39">
        <f t="shared" si="210"/>
        <v>156.23879812533067</v>
      </c>
      <c r="DK96" s="39">
        <f t="shared" si="211"/>
        <v>152.54780917082363</v>
      </c>
      <c r="DL96" s="39">
        <f t="shared" si="212"/>
        <v>148.83282618333234</v>
      </c>
      <c r="DM96" s="39">
        <f t="shared" si="213"/>
        <v>145.09119921250783</v>
      </c>
      <c r="DN96" s="39">
        <f t="shared" si="214"/>
        <v>141.32057143456893</v>
      </c>
      <c r="DO96" s="39">
        <f t="shared" si="215"/>
        <v>137.51890492054676</v>
      </c>
      <c r="DP96" s="39">
        <f t="shared" si="216"/>
        <v>133.68450286008255</v>
      </c>
      <c r="DQ96" s="39">
        <f t="shared" si="217"/>
        <v>129.8160280018935</v>
      </c>
      <c r="DR96" s="39">
        <f t="shared" si="218"/>
        <v>125.9125171154806</v>
      </c>
      <c r="DS96" s="39">
        <f t="shared" si="219"/>
        <v>121.97339132395908</v>
      </c>
      <c r="DT96" s="39">
        <f t="shared" si="220"/>
        <v>117.99846220447688</v>
      </c>
      <c r="DU96" s="39">
        <f t="shared" si="221"/>
        <v>113.9879335999773</v>
      </c>
      <c r="DV96" s="39">
        <f t="shared" si="222"/>
        <v>109.94239913350467</v>
      </c>
      <c r="DW96" s="39">
        <f t="shared" si="223"/>
        <v>105.86283546330878</v>
      </c>
      <c r="DX96" s="39">
        <f t="shared" si="224"/>
        <v>101.75059136315721</v>
      </c>
      <c r="DY96" s="39">
        <f t="shared" si="225"/>
        <v>97.607372757039798</v>
      </c>
      <c r="DZ96" s="39">
        <f t="shared" si="226"/>
        <v>93.435223880393238</v>
      </c>
      <c r="EA96" s="39">
        <f t="shared" si="227"/>
        <v>89.236504780679965</v>
      </c>
      <c r="EB96" s="39">
        <f t="shared" si="228"/>
        <v>85.013865408252968</v>
      </c>
      <c r="EC96" s="39">
        <f t="shared" si="229"/>
        <v>80.77021658359952</v>
      </c>
      <c r="ED96" s="39">
        <f t="shared" si="230"/>
        <v>76.508698158988096</v>
      </c>
      <c r="EE96" s="39">
        <f t="shared" si="231"/>
        <v>72.232644720998294</v>
      </c>
      <c r="EF96" s="39">
        <f t="shared" si="232"/>
        <v>67.94554920517686</v>
      </c>
      <c r="EG96" s="39">
        <f t="shared" si="233"/>
        <v>63.65102481495736</v>
      </c>
      <c r="EH96" s="37">
        <f t="shared" si="234"/>
        <v>59.352765653862882</v>
      </c>
    </row>
    <row r="97" spans="5:138" x14ac:dyDescent="0.25">
      <c r="E97" s="32"/>
      <c r="F97" s="41">
        <v>2.3333333333333334E-2</v>
      </c>
      <c r="G97" s="50">
        <f t="shared" si="139"/>
        <v>300</v>
      </c>
      <c r="H97" s="51">
        <f t="shared" si="235"/>
        <v>293.90898638476335</v>
      </c>
      <c r="I97" s="51">
        <f t="shared" si="236"/>
        <v>287.81165609282652</v>
      </c>
      <c r="J97" s="51">
        <f t="shared" si="237"/>
        <v>281.70176207916541</v>
      </c>
      <c r="K97" s="51">
        <f t="shared" si="238"/>
        <v>275.57319578055842</v>
      </c>
      <c r="L97" s="51">
        <f t="shared" si="239"/>
        <v>269.42005441199899</v>
      </c>
      <c r="M97" s="51">
        <f t="shared" si="240"/>
        <v>263.23670595586356</v>
      </c>
      <c r="N97" s="51">
        <f t="shared" si="241"/>
        <v>257.0178511179061</v>
      </c>
      <c r="O97" s="51">
        <f t="shared" si="242"/>
        <v>250.75858156031882</v>
      </c>
      <c r="P97" s="51">
        <f t="shared" si="243"/>
        <v>244.45443376630271</v>
      </c>
      <c r="Q97" s="51">
        <f t="shared" si="244"/>
        <v>238.10143794219618</v>
      </c>
      <c r="R97" s="51">
        <f t="shared" si="245"/>
        <v>231.69616142148942</v>
      </c>
      <c r="S97" s="51">
        <f t="shared" si="246"/>
        <v>225.23574609918188</v>
      </c>
      <c r="T97" s="51">
        <f t="shared" si="247"/>
        <v>218.71793949406108</v>
      </c>
      <c r="U97" s="51">
        <f t="shared" si="248"/>
        <v>212.14111910966179</v>
      </c>
      <c r="V97" s="51">
        <f t="shared" si="249"/>
        <v>205.50430984096175</v>
      </c>
      <c r="W97" s="51">
        <f t="shared" si="250"/>
        <v>198.80719425231965</v>
      </c>
      <c r="X97" s="51">
        <f t="shared" si="251"/>
        <v>192.0501156318096</v>
      </c>
      <c r="Y97" s="51">
        <f t="shared" si="252"/>
        <v>185.23407380701218</v>
      </c>
      <c r="Z97" s="51">
        <f t="shared" si="253"/>
        <v>178.36071378658255</v>
      </c>
      <c r="AA97" s="51">
        <f t="shared" si="254"/>
        <v>171.43230736966467</v>
      </c>
      <c r="AB97" s="51">
        <f t="shared" si="255"/>
        <v>164.45172794064575</v>
      </c>
      <c r="AC97" s="51">
        <f t="shared" si="256"/>
        <v>157.42241873909467</v>
      </c>
      <c r="AD97" s="51">
        <f t="shared" si="257"/>
        <v>150.34835496331041</v>
      </c>
      <c r="AE97" s="51">
        <f t="shared" si="258"/>
        <v>143.23400013009879</v>
      </c>
      <c r="AF97" s="51">
        <f t="shared" si="259"/>
        <v>136.08425717264203</v>
      </c>
      <c r="AG97" s="51">
        <f t="shared" si="260"/>
        <v>128.90441481213585</v>
      </c>
      <c r="AH97" s="51">
        <f t="shared" si="261"/>
        <v>121.70008978682128</v>
      </c>
      <c r="AI97" s="51">
        <f t="shared" si="262"/>
        <v>114.47716556377208</v>
      </c>
      <c r="AJ97" s="51">
        <f t="shared" si="263"/>
        <v>107.24172819401326</v>
      </c>
      <c r="AK97" s="50">
        <f t="shared" si="141"/>
        <v>100</v>
      </c>
      <c r="AL97" s="21"/>
      <c r="AM97" s="41">
        <v>2.3333333333333334E-2</v>
      </c>
      <c r="AN97" s="37">
        <f t="shared" si="142"/>
        <v>-1076400000</v>
      </c>
      <c r="AO97" s="39">
        <f t="shared" si="143"/>
        <v>-1054545111.9734085</v>
      </c>
      <c r="AP97" s="39">
        <f t="shared" si="144"/>
        <v>-1032667563.4397042</v>
      </c>
      <c r="AQ97" s="39">
        <f t="shared" si="145"/>
        <v>-1010744943.6849691</v>
      </c>
      <c r="AR97" s="39">
        <f t="shared" si="146"/>
        <v>-988755338.77816439</v>
      </c>
      <c r="AS97" s="39">
        <f t="shared" si="147"/>
        <v>-966677572.98745298</v>
      </c>
      <c r="AT97" s="39">
        <f t="shared" si="148"/>
        <v>-944491441.92013216</v>
      </c>
      <c r="AU97" s="39">
        <f t="shared" si="149"/>
        <v>-922177934.78214324</v>
      </c>
      <c r="AV97" s="39">
        <f t="shared" si="150"/>
        <v>-899719443.28282869</v>
      </c>
      <c r="AW97" s="39">
        <f t="shared" si="151"/>
        <v>-877099954.86915207</v>
      </c>
      <c r="AX97" s="39">
        <f t="shared" si="152"/>
        <v>-854305228.15866697</v>
      </c>
      <c r="AY97" s="39">
        <f t="shared" si="153"/>
        <v>-831322948.64954758</v>
      </c>
      <c r="AZ97" s="39">
        <f t="shared" si="154"/>
        <v>-808142863.01600039</v>
      </c>
      <c r="BA97" s="39">
        <f t="shared" si="155"/>
        <v>-784756890.54529762</v>
      </c>
      <c r="BB97" s="39">
        <f t="shared" si="156"/>
        <v>-761159210.53515828</v>
      </c>
      <c r="BC97" s="39">
        <f t="shared" si="157"/>
        <v>-737346324.74387288</v>
      </c>
      <c r="BD97" s="39">
        <f t="shared" si="158"/>
        <v>-713317094.26697838</v>
      </c>
      <c r="BE97" s="39">
        <f t="shared" si="159"/>
        <v>-689072750.49999511</v>
      </c>
      <c r="BF97" s="39">
        <f t="shared" si="160"/>
        <v>-664616880.13338947</v>
      </c>
      <c r="BG97" s="39">
        <f t="shared" si="161"/>
        <v>-639955384.41026735</v>
      </c>
      <c r="BH97" s="39">
        <f t="shared" si="162"/>
        <v>-615096413.15622914</v>
      </c>
      <c r="BI97" s="39">
        <f t="shared" si="163"/>
        <v>-590050274.36142564</v>
      </c>
      <c r="BJ97" s="39">
        <f t="shared" si="164"/>
        <v>-564829320.35442865</v>
      </c>
      <c r="BK97" s="39">
        <f t="shared" si="165"/>
        <v>-539447811.85360682</v>
      </c>
      <c r="BL97" s="39">
        <f t="shared" si="166"/>
        <v>-513921761.41202074</v>
      </c>
      <c r="BM97" s="39">
        <f t="shared" si="167"/>
        <v>-488268757.98444808</v>
      </c>
      <c r="BN97" s="39">
        <f t="shared" si="168"/>
        <v>-462507774.53823316</v>
      </c>
      <c r="BO97" s="39">
        <f t="shared" si="169"/>
        <v>-436658960.80173552</v>
      </c>
      <c r="BP97" s="39">
        <f t="shared" si="170"/>
        <v>-410743423.39391488</v>
      </c>
      <c r="BQ97" s="39">
        <f t="shared" si="171"/>
        <v>-384782995.70496213</v>
      </c>
      <c r="BR97" s="37">
        <f t="shared" si="172"/>
        <v>-358800000</v>
      </c>
      <c r="BT97" s="34"/>
      <c r="BU97" s="41">
        <v>2.3333333333333334E-2</v>
      </c>
      <c r="BV97" s="37">
        <f t="shared" si="173"/>
        <v>0.40647468537622489</v>
      </c>
      <c r="BW97" s="39">
        <f t="shared" si="174"/>
        <v>0.40647468537622489</v>
      </c>
      <c r="BX97" s="39">
        <f t="shared" si="175"/>
        <v>0.40647468537622489</v>
      </c>
      <c r="BY97" s="39">
        <f t="shared" si="176"/>
        <v>0.40647468537622489</v>
      </c>
      <c r="BZ97" s="39">
        <f t="shared" si="177"/>
        <v>0.40647468537622489</v>
      </c>
      <c r="CA97" s="39">
        <f t="shared" si="178"/>
        <v>0.40647468537622489</v>
      </c>
      <c r="CB97" s="39">
        <f t="shared" si="179"/>
        <v>0.40647468537622489</v>
      </c>
      <c r="CC97" s="39">
        <f t="shared" si="180"/>
        <v>0.40647468537622489</v>
      </c>
      <c r="CD97" s="39">
        <f t="shared" si="181"/>
        <v>0.40647468537622489</v>
      </c>
      <c r="CE97" s="39">
        <f t="shared" si="182"/>
        <v>0.40647468537622489</v>
      </c>
      <c r="CF97" s="39">
        <f t="shared" si="183"/>
        <v>0.40647468537622489</v>
      </c>
      <c r="CG97" s="39">
        <f t="shared" si="184"/>
        <v>0.40647468537622489</v>
      </c>
      <c r="CH97" s="39">
        <f t="shared" si="185"/>
        <v>0.40647468537622489</v>
      </c>
      <c r="CI97" s="39">
        <f t="shared" si="186"/>
        <v>0.40647468537622489</v>
      </c>
      <c r="CJ97" s="39">
        <f t="shared" si="187"/>
        <v>0.40647468537622489</v>
      </c>
      <c r="CK97" s="39">
        <f t="shared" si="188"/>
        <v>0.40647468537622489</v>
      </c>
      <c r="CL97" s="39">
        <f t="shared" si="189"/>
        <v>0.40647468537622489</v>
      </c>
      <c r="CM97" s="39">
        <f t="shared" si="190"/>
        <v>0.40647468537622489</v>
      </c>
      <c r="CN97" s="39">
        <f t="shared" si="191"/>
        <v>0.40647468537622489</v>
      </c>
      <c r="CO97" s="39">
        <f t="shared" si="192"/>
        <v>0.40647468537622489</v>
      </c>
      <c r="CP97" s="39">
        <f t="shared" si="193"/>
        <v>0.40647468537622489</v>
      </c>
      <c r="CQ97" s="39">
        <f t="shared" si="194"/>
        <v>0.40647468537622489</v>
      </c>
      <c r="CR97" s="39">
        <f t="shared" si="195"/>
        <v>0.40647468537622489</v>
      </c>
      <c r="CS97" s="39">
        <f t="shared" si="196"/>
        <v>0.40647468537622489</v>
      </c>
      <c r="CT97" s="39">
        <f t="shared" si="197"/>
        <v>0.40647468537622489</v>
      </c>
      <c r="CU97" s="39">
        <f t="shared" si="198"/>
        <v>0.40647468537622489</v>
      </c>
      <c r="CV97" s="39">
        <f t="shared" si="199"/>
        <v>0.40647468537622489</v>
      </c>
      <c r="CW97" s="39">
        <f t="shared" si="200"/>
        <v>0.40647468537622489</v>
      </c>
      <c r="CX97" s="39">
        <f t="shared" si="201"/>
        <v>0.40647468537622489</v>
      </c>
      <c r="CY97" s="39">
        <f t="shared" si="202"/>
        <v>0.40647468537622489</v>
      </c>
      <c r="CZ97" s="37">
        <f t="shared" si="203"/>
        <v>0.40647468537622489</v>
      </c>
      <c r="DB97" s="34"/>
      <c r="DC97" s="41">
        <v>2.3333333333333334E-2</v>
      </c>
      <c r="DD97" s="37">
        <f t="shared" si="204"/>
        <v>178.05759438713258</v>
      </c>
      <c r="DE97" s="39">
        <f t="shared" si="205"/>
        <v>174.44215345950226</v>
      </c>
      <c r="DF97" s="39">
        <f t="shared" si="206"/>
        <v>170.82296646566027</v>
      </c>
      <c r="DG97" s="39">
        <f t="shared" si="207"/>
        <v>167.19632863066565</v>
      </c>
      <c r="DH97" s="39">
        <f t="shared" si="208"/>
        <v>163.55861729881124</v>
      </c>
      <c r="DI97" s="39">
        <f t="shared" si="209"/>
        <v>159.90633184052726</v>
      </c>
      <c r="DJ97" s="39">
        <f t="shared" si="210"/>
        <v>156.2361321915086</v>
      </c>
      <c r="DK97" s="39">
        <f t="shared" si="211"/>
        <v>152.54487559369437</v>
      </c>
      <c r="DL97" s="39">
        <f t="shared" si="212"/>
        <v>148.82965112914482</v>
      </c>
      <c r="DM97" s="39">
        <f t="shared" si="213"/>
        <v>145.08781166404279</v>
      </c>
      <c r="DN97" s="39">
        <f t="shared" si="214"/>
        <v>141.31700285060992</v>
      </c>
      <c r="DO97" s="39">
        <f t="shared" si="215"/>
        <v>137.51518886925035</v>
      </c>
      <c r="DP97" s="39">
        <f t="shared" si="216"/>
        <v>133.68067463122605</v>
      </c>
      <c r="DQ97" s="39">
        <f t="shared" si="217"/>
        <v>129.81212420312116</v>
      </c>
      <c r="DR97" s="39">
        <f t="shared" si="218"/>
        <v>125.90857525771827</v>
      </c>
      <c r="DS97" s="39">
        <f t="shared" si="219"/>
        <v>121.96944940112741</v>
      </c>
      <c r="DT97" s="39">
        <f t="shared" si="220"/>
        <v>117.99455827251023</v>
      </c>
      <c r="DU97" s="39">
        <f t="shared" si="221"/>
        <v>113.98410535996261</v>
      </c>
      <c r="DV97" s="39">
        <f t="shared" si="222"/>
        <v>109.93868352349888</v>
      </c>
      <c r="DW97" s="39">
        <f t="shared" si="223"/>
        <v>105.85926826308881</v>
      </c>
      <c r="DX97" s="39">
        <f t="shared" si="224"/>
        <v>101.74720681581651</v>
      </c>
      <c r="DY97" s="39">
        <f t="shared" si="225"/>
        <v>97.604203210979605</v>
      </c>
      <c r="DZ97" s="39">
        <f t="shared" si="226"/>
        <v>93.432299454879427</v>
      </c>
      <c r="EA97" s="39">
        <f t="shared" si="227"/>
        <v>89.233853057756505</v>
      </c>
      <c r="EB97" s="39">
        <f t="shared" si="228"/>
        <v>85.01151115343194</v>
      </c>
      <c r="EC97" s="39">
        <f t="shared" si="229"/>
        <v>80.768181497390131</v>
      </c>
      <c r="ED97" s="39">
        <f t="shared" si="230"/>
        <v>76.507000660991693</v>
      </c>
      <c r="EE97" s="39">
        <f t="shared" si="231"/>
        <v>72.231299767984368</v>
      </c>
      <c r="EF97" s="39">
        <f t="shared" si="232"/>
        <v>67.944568144268999</v>
      </c>
      <c r="EG97" s="39">
        <f t="shared" si="233"/>
        <v>63.650415272796593</v>
      </c>
      <c r="EH97" s="37">
        <f t="shared" si="234"/>
        <v>59.35253146237752</v>
      </c>
    </row>
    <row r="98" spans="5:138" x14ac:dyDescent="0.25">
      <c r="E98" s="32"/>
      <c r="F98" s="41">
        <v>0.02</v>
      </c>
      <c r="G98" s="50">
        <f t="shared" si="139"/>
        <v>300</v>
      </c>
      <c r="H98" s="51">
        <f t="shared" si="235"/>
        <v>293.90840174875643</v>
      </c>
      <c r="I98" s="51">
        <f t="shared" si="236"/>
        <v>287.81049340228878</v>
      </c>
      <c r="J98" s="51">
        <f t="shared" si="237"/>
        <v>281.70003441722116</v>
      </c>
      <c r="K98" s="51">
        <f t="shared" si="238"/>
        <v>275.57092257353958</v>
      </c>
      <c r="L98" s="51">
        <f t="shared" si="239"/>
        <v>269.41726119479085</v>
      </c>
      <c r="M98" s="51">
        <f t="shared" si="240"/>
        <v>263.23342406456845</v>
      </c>
      <c r="N98" s="51">
        <f t="shared" si="241"/>
        <v>257.0141173144039</v>
      </c>
      <c r="O98" s="51">
        <f t="shared" si="242"/>
        <v>250.75443759424883</v>
      </c>
      <c r="P98" s="51">
        <f t="shared" si="243"/>
        <v>244.44992588081402</v>
      </c>
      <c r="Q98" s="51">
        <f t="shared" si="244"/>
        <v>238.09661633049717</v>
      </c>
      <c r="R98" s="51">
        <f t="shared" si="245"/>
        <v>231.69107964176328</v>
      </c>
      <c r="S98" s="51">
        <f t="shared" si="246"/>
        <v>225.23046045581782</v>
      </c>
      <c r="T98" s="51">
        <f t="shared" si="247"/>
        <v>218.7125083933775</v>
      </c>
      <c r="U98" s="51">
        <f t="shared" si="248"/>
        <v>212.13560239837557</v>
      </c>
      <c r="V98" s="51">
        <f t="shared" si="249"/>
        <v>205.4987681355916</v>
      </c>
      <c r="W98" s="51">
        <f t="shared" si="250"/>
        <v>198.80168826751608</v>
      </c>
      <c r="X98" s="51">
        <f t="shared" si="251"/>
        <v>192.04470551529269</v>
      </c>
      <c r="Y98" s="51">
        <f t="shared" si="252"/>
        <v>185.22881848839029</v>
      </c>
      <c r="Z98" s="51">
        <f t="shared" si="253"/>
        <v>178.35567034683771</v>
      </c>
      <c r="AA98" s="51">
        <f t="shared" si="254"/>
        <v>171.42753043754527</v>
      </c>
      <c r="AB98" s="51">
        <f t="shared" si="255"/>
        <v>164.44726912162326</v>
      </c>
      <c r="AC98" s="51">
        <f t="shared" si="256"/>
        <v>157.41832608193761</v>
      </c>
      <c r="AD98" s="51">
        <f t="shared" si="257"/>
        <v>150.34467246872225</v>
      </c>
      <c r="AE98" s="51">
        <f t="shared" si="258"/>
        <v>143.2307673052731</v>
      </c>
      <c r="AF98" s="51">
        <f t="shared" si="259"/>
        <v>136.08150863501825</v>
      </c>
      <c r="AG98" s="51">
        <f t="shared" si="260"/>
        <v>128.9021799451038</v>
      </c>
      <c r="AH98" s="51">
        <f t="shared" si="261"/>
        <v>121.69839244962448</v>
      </c>
      <c r="AI98" s="51">
        <f t="shared" si="262"/>
        <v>114.47602385740507</v>
      </c>
      <c r="AJ98" s="51">
        <f t="shared" si="263"/>
        <v>107.24115428449124</v>
      </c>
      <c r="AK98" s="50">
        <f t="shared" si="141"/>
        <v>100</v>
      </c>
      <c r="AL98" s="21"/>
      <c r="AM98" s="41">
        <v>0.02</v>
      </c>
      <c r="AN98" s="37">
        <f t="shared" si="142"/>
        <v>-1076400000</v>
      </c>
      <c r="AO98" s="39">
        <f t="shared" si="143"/>
        <v>-1054542986.3131936</v>
      </c>
      <c r="AP98" s="39">
        <f t="shared" si="144"/>
        <v>-1032663336.0484102</v>
      </c>
      <c r="AQ98" s="39">
        <f t="shared" si="145"/>
        <v>-1010738662.1306384</v>
      </c>
      <c r="AR98" s="39">
        <f t="shared" si="146"/>
        <v>-988747073.69170249</v>
      </c>
      <c r="AS98" s="39">
        <f t="shared" si="147"/>
        <v>-966667417.20949662</v>
      </c>
      <c r="AT98" s="39">
        <f t="shared" si="148"/>
        <v>-944479509.38366258</v>
      </c>
      <c r="AU98" s="39">
        <f t="shared" si="149"/>
        <v>-922164359.1474942</v>
      </c>
      <c r="AV98" s="39">
        <f t="shared" si="150"/>
        <v>-899704376.34517252</v>
      </c>
      <c r="AW98" s="39">
        <f t="shared" si="151"/>
        <v>-877083564.76153612</v>
      </c>
      <c r="AX98" s="39">
        <f t="shared" si="152"/>
        <v>-854287697.37616253</v>
      </c>
      <c r="AY98" s="39">
        <f t="shared" si="153"/>
        <v>-831304471.92201936</v>
      </c>
      <c r="AZ98" s="39">
        <f t="shared" si="154"/>
        <v>-808123645.05839682</v>
      </c>
      <c r="BA98" s="39">
        <f t="shared" si="155"/>
        <v>-784737143.71518922</v>
      </c>
      <c r="BB98" s="39">
        <f t="shared" si="156"/>
        <v>-761139152.42753041</v>
      </c>
      <c r="BC98" s="39">
        <f t="shared" si="157"/>
        <v>-737326175.75294447</v>
      </c>
      <c r="BD98" s="39">
        <f t="shared" si="158"/>
        <v>-713297075.14410222</v>
      </c>
      <c r="BE98" s="39">
        <f t="shared" si="159"/>
        <v>-689053079.93556976</v>
      </c>
      <c r="BF98" s="39">
        <f t="shared" si="160"/>
        <v>-664597772.38922524</v>
      </c>
      <c r="BG98" s="39">
        <f t="shared" si="161"/>
        <v>-639937047.02707958</v>
      </c>
      <c r="BH98" s="39">
        <f t="shared" si="162"/>
        <v>-615079044.75895131</v>
      </c>
      <c r="BI98" s="39">
        <f t="shared" si="163"/>
        <v>-590034062.5829097</v>
      </c>
      <c r="BJ98" s="39">
        <f t="shared" si="164"/>
        <v>-564814439.89590967</v>
      </c>
      <c r="BK98" s="39">
        <f t="shared" si="165"/>
        <v>-539434422.69809914</v>
      </c>
      <c r="BL98" s="39">
        <f t="shared" si="166"/>
        <v>-513910007.2046631</v>
      </c>
      <c r="BM98" s="39">
        <f t="shared" si="167"/>
        <v>-488258764.5917356</v>
      </c>
      <c r="BN98" s="39">
        <f t="shared" si="168"/>
        <v>-462499648.79613155</v>
      </c>
      <c r="BO98" s="39">
        <f t="shared" si="169"/>
        <v>-436652789.46086282</v>
      </c>
      <c r="BP98" s="39">
        <f t="shared" si="170"/>
        <v>-410739272.26831859</v>
      </c>
      <c r="BQ98" s="39">
        <f t="shared" si="171"/>
        <v>-384780909.02950692</v>
      </c>
      <c r="BR98" s="37">
        <f t="shared" si="172"/>
        <v>-358800000</v>
      </c>
      <c r="BT98" s="34"/>
      <c r="BU98" s="41">
        <v>0.02</v>
      </c>
      <c r="BV98" s="37">
        <f t="shared" si="173"/>
        <v>0.40648885983862293</v>
      </c>
      <c r="BW98" s="39">
        <f t="shared" si="174"/>
        <v>0.40648885983862293</v>
      </c>
      <c r="BX98" s="39">
        <f t="shared" si="175"/>
        <v>0.40648885983862293</v>
      </c>
      <c r="BY98" s="39">
        <f t="shared" si="176"/>
        <v>0.40648885983862293</v>
      </c>
      <c r="BZ98" s="39">
        <f t="shared" si="177"/>
        <v>0.40648885983862293</v>
      </c>
      <c r="CA98" s="39">
        <f t="shared" si="178"/>
        <v>0.40648885983862293</v>
      </c>
      <c r="CB98" s="39">
        <f t="shared" si="179"/>
        <v>0.40648885983862293</v>
      </c>
      <c r="CC98" s="39">
        <f t="shared" si="180"/>
        <v>0.40648885983862293</v>
      </c>
      <c r="CD98" s="39">
        <f t="shared" si="181"/>
        <v>0.40648885983862293</v>
      </c>
      <c r="CE98" s="39">
        <f t="shared" si="182"/>
        <v>0.40648885983862293</v>
      </c>
      <c r="CF98" s="39">
        <f t="shared" si="183"/>
        <v>0.40648885983862293</v>
      </c>
      <c r="CG98" s="39">
        <f t="shared" si="184"/>
        <v>0.40648885983862293</v>
      </c>
      <c r="CH98" s="39">
        <f t="shared" si="185"/>
        <v>0.40648885983862293</v>
      </c>
      <c r="CI98" s="39">
        <f t="shared" si="186"/>
        <v>0.40648885983862293</v>
      </c>
      <c r="CJ98" s="39">
        <f t="shared" si="187"/>
        <v>0.40648885983862293</v>
      </c>
      <c r="CK98" s="39">
        <f t="shared" si="188"/>
        <v>0.40648885983862293</v>
      </c>
      <c r="CL98" s="39">
        <f t="shared" si="189"/>
        <v>0.40648885983862293</v>
      </c>
      <c r="CM98" s="39">
        <f t="shared" si="190"/>
        <v>0.40648885983862293</v>
      </c>
      <c r="CN98" s="39">
        <f t="shared" si="191"/>
        <v>0.40648885983862293</v>
      </c>
      <c r="CO98" s="39">
        <f t="shared" si="192"/>
        <v>0.40648885983862293</v>
      </c>
      <c r="CP98" s="39">
        <f t="shared" si="193"/>
        <v>0.40648885983862293</v>
      </c>
      <c r="CQ98" s="39">
        <f t="shared" si="194"/>
        <v>0.40648885983862293</v>
      </c>
      <c r="CR98" s="39">
        <f t="shared" si="195"/>
        <v>0.40648885983862293</v>
      </c>
      <c r="CS98" s="39">
        <f t="shared" si="196"/>
        <v>0.40648885983862293</v>
      </c>
      <c r="CT98" s="39">
        <f t="shared" si="197"/>
        <v>0.40648885983862293</v>
      </c>
      <c r="CU98" s="39">
        <f t="shared" si="198"/>
        <v>0.40648885983862293</v>
      </c>
      <c r="CV98" s="39">
        <f t="shared" si="199"/>
        <v>0.40648885983862293</v>
      </c>
      <c r="CW98" s="39">
        <f t="shared" si="200"/>
        <v>0.40648885983862293</v>
      </c>
      <c r="CX98" s="39">
        <f t="shared" si="201"/>
        <v>0.40648885983862293</v>
      </c>
      <c r="CY98" s="39">
        <f t="shared" si="202"/>
        <v>0.40648885983862293</v>
      </c>
      <c r="CZ98" s="37">
        <f t="shared" si="203"/>
        <v>0.40648885983862293</v>
      </c>
      <c r="DB98" s="34"/>
      <c r="DC98" s="41">
        <v>0.02</v>
      </c>
      <c r="DD98" s="37">
        <f t="shared" si="204"/>
        <v>178.05334204841316</v>
      </c>
      <c r="DE98" s="39">
        <f t="shared" si="205"/>
        <v>174.43767297688865</v>
      </c>
      <c r="DF98" s="39">
        <f t="shared" si="206"/>
        <v>170.81826146884987</v>
      </c>
      <c r="DG98" s="39">
        <f t="shared" si="207"/>
        <v>167.19140633513021</v>
      </c>
      <c r="DH98" s="39">
        <f t="shared" si="208"/>
        <v>163.55348841861476</v>
      </c>
      <c r="DI98" s="39">
        <f t="shared" si="209"/>
        <v>159.90101045919764</v>
      </c>
      <c r="DJ98" s="39">
        <f t="shared" si="210"/>
        <v>156.23063559289463</v>
      </c>
      <c r="DK98" s="39">
        <f t="shared" si="211"/>
        <v>152.5392240553133</v>
      </c>
      <c r="DL98" s="39">
        <f t="shared" si="212"/>
        <v>148.82386768104448</v>
      </c>
      <c r="DM98" s="39">
        <f t="shared" si="213"/>
        <v>145.08192181665348</v>
      </c>
      <c r="DN98" s="39">
        <f t="shared" si="214"/>
        <v>141.31103429543722</v>
      </c>
      <c r="DO98" s="39">
        <f t="shared" si="215"/>
        <v>137.50917115655653</v>
      </c>
      <c r="DP98" s="39">
        <f t="shared" si="216"/>
        <v>133.6746388290598</v>
      </c>
      <c r="DQ98" s="39">
        <f t="shared" si="217"/>
        <v>129.80610254218368</v>
      </c>
      <c r="DR98" s="39">
        <f t="shared" si="218"/>
        <v>125.90260076659965</v>
      </c>
      <c r="DS98" s="39">
        <f t="shared" si="219"/>
        <v>121.96355553641597</v>
      </c>
      <c r="DT98" s="39">
        <f t="shared" si="220"/>
        <v>117.98877854817505</v>
      </c>
      <c r="DU98" s="39">
        <f t="shared" si="221"/>
        <v>113.97847298024271</v>
      </c>
      <c r="DV98" s="39">
        <f t="shared" si="222"/>
        <v>109.93323102331459</v>
      </c>
      <c r="DW98" s="39">
        <f t="shared" si="223"/>
        <v>105.85402715972683</v>
      </c>
      <c r="DX98" s="39">
        <f t="shared" si="224"/>
        <v>101.74220727534593</v>
      </c>
      <c r="DY98" s="39">
        <f t="shared" si="225"/>
        <v>97.599473732538755</v>
      </c>
      <c r="DZ98" s="39">
        <f t="shared" si="226"/>
        <v>93.427866575644757</v>
      </c>
      <c r="EA98" s="39">
        <f t="shared" si="227"/>
        <v>89.229741081073641</v>
      </c>
      <c r="EB98" s="39">
        <f t="shared" si="228"/>
        <v>85.007741902264073</v>
      </c>
      <c r="EC98" s="39">
        <f t="shared" si="229"/>
        <v>80.764774094925045</v>
      </c>
      <c r="ED98" s="39">
        <f t="shared" si="230"/>
        <v>76.503971339953779</v>
      </c>
      <c r="EE98" s="39">
        <f t="shared" si="231"/>
        <v>72.228661709921454</v>
      </c>
      <c r="EF98" s="39">
        <f t="shared" si="232"/>
        <v>67.942331349830084</v>
      </c>
      <c r="EG98" s="39">
        <f t="shared" si="233"/>
        <v>63.648586463783289</v>
      </c>
      <c r="EH98" s="37">
        <f t="shared" si="234"/>
        <v>59.351114016137714</v>
      </c>
    </row>
    <row r="99" spans="5:138" x14ac:dyDescent="0.25">
      <c r="E99" s="32"/>
      <c r="F99" s="41">
        <v>1.6666666666666666E-2</v>
      </c>
      <c r="G99" s="50">
        <f t="shared" si="139"/>
        <v>300</v>
      </c>
      <c r="H99" s="51">
        <f t="shared" si="235"/>
        <v>293.90790386669755</v>
      </c>
      <c r="I99" s="51">
        <f t="shared" si="236"/>
        <v>287.80950324291092</v>
      </c>
      <c r="J99" s="51">
        <f t="shared" si="237"/>
        <v>281.69856312202847</v>
      </c>
      <c r="K99" s="51">
        <f t="shared" si="238"/>
        <v>275.56898668588235</v>
      </c>
      <c r="L99" s="51">
        <f t="shared" si="239"/>
        <v>269.41488246004957</v>
      </c>
      <c r="M99" s="51">
        <f t="shared" si="240"/>
        <v>263.23062916844458</v>
      </c>
      <c r="N99" s="51">
        <f t="shared" si="241"/>
        <v>257.01093756321728</v>
      </c>
      <c r="O99" s="51">
        <f t="shared" si="242"/>
        <v>250.75090854194505</v>
      </c>
      <c r="P99" s="51">
        <f t="shared" si="243"/>
        <v>244.44608690808491</v>
      </c>
      <c r="Q99" s="51">
        <f t="shared" si="244"/>
        <v>238.09251018200138</v>
      </c>
      <c r="R99" s="51">
        <f t="shared" si="245"/>
        <v>231.68675192788913</v>
      </c>
      <c r="S99" s="51">
        <f t="shared" si="246"/>
        <v>225.22595912575747</v>
      </c>
      <c r="T99" s="51">
        <f t="shared" si="247"/>
        <v>218.70788318647388</v>
      </c>
      <c r="U99" s="51">
        <f t="shared" si="248"/>
        <v>212.13090428077075</v>
      </c>
      <c r="V99" s="51">
        <f t="shared" si="249"/>
        <v>205.49404872914857</v>
      </c>
      <c r="W99" s="51">
        <f t="shared" si="250"/>
        <v>198.79699927782013</v>
      </c>
      <c r="X99" s="51">
        <f t="shared" si="251"/>
        <v>192.04009816527343</v>
      </c>
      <c r="Y99" s="51">
        <f t="shared" si="252"/>
        <v>185.22434296375855</v>
      </c>
      <c r="Z99" s="51">
        <f t="shared" si="253"/>
        <v>178.35137525911563</v>
      </c>
      <c r="AA99" s="51">
        <f t="shared" si="254"/>
        <v>171.42346231000585</v>
      </c>
      <c r="AB99" s="51">
        <f t="shared" si="255"/>
        <v>164.44347190295693</v>
      </c>
      <c r="AC99" s="51">
        <f t="shared" si="256"/>
        <v>157.41484069195025</v>
      </c>
      <c r="AD99" s="51">
        <f t="shared" si="257"/>
        <v>150.34153637985304</v>
      </c>
      <c r="AE99" s="51">
        <f t="shared" si="258"/>
        <v>143.22801416321471</v>
      </c>
      <c r="AF99" s="51">
        <f t="shared" si="259"/>
        <v>136.0791679212374</v>
      </c>
      <c r="AG99" s="51">
        <f t="shared" si="260"/>
        <v>128.90027668360329</v>
      </c>
      <c r="AH99" s="51">
        <f t="shared" si="261"/>
        <v>121.69694695986479</v>
      </c>
      <c r="AI99" s="51">
        <f t="shared" si="262"/>
        <v>114.47505155491504</v>
      </c>
      <c r="AJ99" s="51">
        <f t="shared" si="263"/>
        <v>107.24066553034305</v>
      </c>
      <c r="AK99" s="50">
        <f t="shared" si="141"/>
        <v>100</v>
      </c>
      <c r="AL99" s="21"/>
      <c r="AM99" s="41">
        <v>1.6666666666666666E-2</v>
      </c>
      <c r="AN99" s="37">
        <f t="shared" si="142"/>
        <v>-1076400000</v>
      </c>
      <c r="AO99" s="39">
        <f t="shared" si="143"/>
        <v>-1054541176.1044761</v>
      </c>
      <c r="AP99" s="39">
        <f t="shared" si="144"/>
        <v>-1032659736.0085602</v>
      </c>
      <c r="AQ99" s="39">
        <f t="shared" si="145"/>
        <v>-1010733312.7676916</v>
      </c>
      <c r="AR99" s="39">
        <f t="shared" si="146"/>
        <v>-988740035.15363216</v>
      </c>
      <c r="AS99" s="39">
        <f t="shared" si="147"/>
        <v>-966658768.55775392</v>
      </c>
      <c r="AT99" s="39">
        <f t="shared" si="148"/>
        <v>-944469347.6416961</v>
      </c>
      <c r="AU99" s="39">
        <f t="shared" si="149"/>
        <v>-922152798.1384207</v>
      </c>
      <c r="AV99" s="39">
        <f t="shared" si="150"/>
        <v>-899691545.33570015</v>
      </c>
      <c r="AW99" s="39">
        <f t="shared" si="151"/>
        <v>-877069606.93178248</v>
      </c>
      <c r="AX99" s="39">
        <f t="shared" si="152"/>
        <v>-854272768.13713157</v>
      </c>
      <c r="AY99" s="39">
        <f t="shared" si="153"/>
        <v>-831288737.10415602</v>
      </c>
      <c r="AZ99" s="39">
        <f t="shared" si="154"/>
        <v>-808107278.99582911</v>
      </c>
      <c r="BA99" s="39">
        <f t="shared" si="155"/>
        <v>-784720327.25096714</v>
      </c>
      <c r="BB99" s="39">
        <f t="shared" si="156"/>
        <v>-761122070.86541057</v>
      </c>
      <c r="BC99" s="39">
        <f t="shared" si="157"/>
        <v>-737309016.7810719</v>
      </c>
      <c r="BD99" s="39">
        <f t="shared" si="158"/>
        <v>-713280026.75533307</v>
      </c>
      <c r="BE99" s="39">
        <f t="shared" si="159"/>
        <v>-689036328.3682152</v>
      </c>
      <c r="BF99" s="39">
        <f t="shared" si="160"/>
        <v>-664581500.11073816</v>
      </c>
      <c r="BG99" s="39">
        <f t="shared" si="161"/>
        <v>-639921430.78169632</v>
      </c>
      <c r="BH99" s="39">
        <f t="shared" si="162"/>
        <v>-615064253.69861472</v>
      </c>
      <c r="BI99" s="39">
        <f t="shared" si="163"/>
        <v>-590020256.49899411</v>
      </c>
      <c r="BJ99" s="39">
        <f t="shared" si="164"/>
        <v>-564801767.56739759</v>
      </c>
      <c r="BK99" s="39">
        <f t="shared" si="165"/>
        <v>-539423020.36998951</v>
      </c>
      <c r="BL99" s="39">
        <f t="shared" si="166"/>
        <v>-513899997.20854437</v>
      </c>
      <c r="BM99" s="39">
        <f t="shared" si="167"/>
        <v>-488250254.11870217</v>
      </c>
      <c r="BN99" s="39">
        <f t="shared" si="168"/>
        <v>-462492728.83055824</v>
      </c>
      <c r="BO99" s="39">
        <f t="shared" si="169"/>
        <v>-436647533.88201284</v>
      </c>
      <c r="BP99" s="39">
        <f t="shared" si="170"/>
        <v>-410735737.12534904</v>
      </c>
      <c r="BQ99" s="39">
        <f t="shared" si="171"/>
        <v>-384779131.99414724</v>
      </c>
      <c r="BR99" s="37">
        <f t="shared" si="172"/>
        <v>-358800000</v>
      </c>
      <c r="BT99" s="34"/>
      <c r="BU99" s="41">
        <v>1.6666666666666666E-2</v>
      </c>
      <c r="BV99" s="37">
        <f t="shared" si="173"/>
        <v>0.40657464742411625</v>
      </c>
      <c r="BW99" s="39">
        <f t="shared" si="174"/>
        <v>0.40657464742411625</v>
      </c>
      <c r="BX99" s="39">
        <f t="shared" si="175"/>
        <v>0.40657464742411625</v>
      </c>
      <c r="BY99" s="39">
        <f t="shared" si="176"/>
        <v>0.40657464742411625</v>
      </c>
      <c r="BZ99" s="39">
        <f t="shared" si="177"/>
        <v>0.40657464742411625</v>
      </c>
      <c r="CA99" s="39">
        <f t="shared" si="178"/>
        <v>0.40657464742411625</v>
      </c>
      <c r="CB99" s="39">
        <f t="shared" si="179"/>
        <v>0.40657464742411625</v>
      </c>
      <c r="CC99" s="39">
        <f t="shared" si="180"/>
        <v>0.40657464742411625</v>
      </c>
      <c r="CD99" s="39">
        <f t="shared" si="181"/>
        <v>0.40657464742411625</v>
      </c>
      <c r="CE99" s="39">
        <f t="shared" si="182"/>
        <v>0.40657464742411625</v>
      </c>
      <c r="CF99" s="39">
        <f t="shared" si="183"/>
        <v>0.40657464742411625</v>
      </c>
      <c r="CG99" s="39">
        <f t="shared" si="184"/>
        <v>0.40657464742411625</v>
      </c>
      <c r="CH99" s="39">
        <f t="shared" si="185"/>
        <v>0.40657464742411625</v>
      </c>
      <c r="CI99" s="39">
        <f t="shared" si="186"/>
        <v>0.40657464742411625</v>
      </c>
      <c r="CJ99" s="39">
        <f t="shared" si="187"/>
        <v>0.40657464742411625</v>
      </c>
      <c r="CK99" s="39">
        <f t="shared" si="188"/>
        <v>0.40657464742411625</v>
      </c>
      <c r="CL99" s="39">
        <f t="shared" si="189"/>
        <v>0.40657464742411625</v>
      </c>
      <c r="CM99" s="39">
        <f t="shared" si="190"/>
        <v>0.40657464742411625</v>
      </c>
      <c r="CN99" s="39">
        <f t="shared" si="191"/>
        <v>0.40657464742411625</v>
      </c>
      <c r="CO99" s="39">
        <f t="shared" si="192"/>
        <v>0.40657464742411625</v>
      </c>
      <c r="CP99" s="39">
        <f t="shared" si="193"/>
        <v>0.40657464742411625</v>
      </c>
      <c r="CQ99" s="39">
        <f t="shared" si="194"/>
        <v>0.40657464742411625</v>
      </c>
      <c r="CR99" s="39">
        <f t="shared" si="195"/>
        <v>0.40657464742411625</v>
      </c>
      <c r="CS99" s="39">
        <f t="shared" si="196"/>
        <v>0.40657464742411625</v>
      </c>
      <c r="CT99" s="39">
        <f t="shared" si="197"/>
        <v>0.40657464742411625</v>
      </c>
      <c r="CU99" s="39">
        <f t="shared" si="198"/>
        <v>0.40657464742411625</v>
      </c>
      <c r="CV99" s="39">
        <f t="shared" si="199"/>
        <v>0.40657464742411625</v>
      </c>
      <c r="CW99" s="39">
        <f t="shared" si="200"/>
        <v>0.40657464742411625</v>
      </c>
      <c r="CX99" s="39">
        <f t="shared" si="201"/>
        <v>0.40657464742411625</v>
      </c>
      <c r="CY99" s="39">
        <f t="shared" si="202"/>
        <v>0.40657464742411625</v>
      </c>
      <c r="CZ99" s="37">
        <f t="shared" si="203"/>
        <v>0.40657464742411625</v>
      </c>
      <c r="DB99" s="34"/>
      <c r="DC99" s="41">
        <v>1.6666666666666666E-2</v>
      </c>
      <c r="DD99" s="37">
        <f t="shared" si="204"/>
        <v>178.02760577276516</v>
      </c>
      <c r="DE99" s="39">
        <f t="shared" si="205"/>
        <v>174.41219905071137</v>
      </c>
      <c r="DF99" s="39">
        <f t="shared" si="206"/>
        <v>170.79305336291441</v>
      </c>
      <c r="DG99" s="39">
        <f t="shared" si="207"/>
        <v>167.16647094948536</v>
      </c>
      <c r="DH99" s="39">
        <f t="shared" si="208"/>
        <v>163.52883600020706</v>
      </c>
      <c r="DI99" s="39">
        <f t="shared" si="209"/>
        <v>159.87665447980643</v>
      </c>
      <c r="DJ99" s="39">
        <f t="shared" si="210"/>
        <v>156.20659258914975</v>
      </c>
      <c r="DK99" s="39">
        <f t="shared" si="211"/>
        <v>152.51551343309308</v>
      </c>
      <c r="DL99" s="39">
        <f t="shared" si="212"/>
        <v>148.80051148703078</v>
      </c>
      <c r="DM99" s="39">
        <f t="shared" si="213"/>
        <v>145.05894448024159</v>
      </c>
      <c r="DN99" s="39">
        <f t="shared" si="214"/>
        <v>141.2884623445544</v>
      </c>
      <c r="DO99" s="39">
        <f t="shared" si="215"/>
        <v>137.48703291122641</v>
      </c>
      <c r="DP99" s="39">
        <f t="shared" si="216"/>
        <v>133.65296407676198</v>
      </c>
      <c r="DQ99" s="39">
        <f t="shared" si="217"/>
        <v>129.78492219919235</v>
      </c>
      <c r="DR99" s="39">
        <f t="shared" si="218"/>
        <v>125.8819465295487</v>
      </c>
      <c r="DS99" s="39">
        <f t="shared" si="219"/>
        <v>121.94345952833019</v>
      </c>
      <c r="DT99" s="39">
        <f t="shared" si="220"/>
        <v>117.96927296313569</v>
      </c>
      <c r="DU99" s="39">
        <f t="shared" si="221"/>
        <v>113.95958973072509</v>
      </c>
      <c r="DV99" s="39">
        <f t="shared" si="222"/>
        <v>109.91500139405564</v>
      </c>
      <c r="DW99" s="39">
        <f t="shared" si="223"/>
        <v>105.83648147175816</v>
      </c>
      <c r="DX99" s="39">
        <f t="shared" si="224"/>
        <v>101.72537456357391</v>
      </c>
      <c r="DY99" s="39">
        <f t="shared" si="225"/>
        <v>97.58338143997419</v>
      </c>
      <c r="DZ99" s="39">
        <f t="shared" si="226"/>
        <v>93.412540267091899</v>
      </c>
      <c r="EA99" s="39">
        <f t="shared" si="227"/>
        <v>89.215204178788042</v>
      </c>
      <c r="EB99" s="39">
        <f t="shared" si="228"/>
        <v>84.994015445787667</v>
      </c>
      <c r="EC99" s="39">
        <f t="shared" si="229"/>
        <v>80.751876527013039</v>
      </c>
      <c r="ED99" s="39">
        <f t="shared" si="230"/>
        <v>76.491918320222723</v>
      </c>
      <c r="EE99" s="39">
        <f t="shared" si="231"/>
        <v>72.217465957576991</v>
      </c>
      <c r="EF99" s="39">
        <f t="shared" si="232"/>
        <v>67.932002516575849</v>
      </c>
      <c r="EG99" s="39">
        <f t="shared" si="233"/>
        <v>63.63913103777076</v>
      </c>
      <c r="EH99" s="37">
        <f t="shared" si="234"/>
        <v>59.342535257588374</v>
      </c>
    </row>
    <row r="100" spans="5:138" x14ac:dyDescent="0.25">
      <c r="E100" s="32"/>
      <c r="F100" s="41">
        <v>1.3333333333333334E-2</v>
      </c>
      <c r="G100" s="50">
        <f t="shared" si="139"/>
        <v>300</v>
      </c>
      <c r="H100" s="51">
        <f t="shared" si="235"/>
        <v>293.90749848928465</v>
      </c>
      <c r="I100" s="51">
        <f t="shared" si="236"/>
        <v>287.80869705140833</v>
      </c>
      <c r="J100" s="51">
        <f t="shared" si="237"/>
        <v>281.69736518774067</v>
      </c>
      <c r="K100" s="51">
        <f t="shared" si="238"/>
        <v>275.56741047825255</v>
      </c>
      <c r="L100" s="51">
        <f t="shared" si="239"/>
        <v>269.41294568398069</v>
      </c>
      <c r="M100" s="51">
        <f t="shared" si="240"/>
        <v>263.22835355122959</v>
      </c>
      <c r="N100" s="51">
        <f t="shared" si="241"/>
        <v>257.00834859425356</v>
      </c>
      <c r="O100" s="51">
        <f t="shared" si="242"/>
        <v>250.74803516906124</v>
      </c>
      <c r="P100" s="51">
        <f t="shared" si="243"/>
        <v>244.44296119487899</v>
      </c>
      <c r="Q100" s="51">
        <f t="shared" si="244"/>
        <v>238.08916693106329</v>
      </c>
      <c r="R100" s="51">
        <f t="shared" si="245"/>
        <v>231.68322827515271</v>
      </c>
      <c r="S100" s="51">
        <f t="shared" si="246"/>
        <v>225.22229411149146</v>
      </c>
      <c r="T100" s="51">
        <f t="shared" si="247"/>
        <v>218.70411730858018</v>
      </c>
      <c r="U100" s="51">
        <f t="shared" si="248"/>
        <v>212.12707903611155</v>
      </c>
      <c r="V100" s="51">
        <f t="shared" si="249"/>
        <v>205.49020614857824</v>
      </c>
      <c r="W100" s="51">
        <f t="shared" si="250"/>
        <v>198.79318146046359</v>
      </c>
      <c r="X100" s="51">
        <f t="shared" si="251"/>
        <v>192.0363468173764</v>
      </c>
      <c r="Y100" s="51">
        <f t="shared" si="252"/>
        <v>185.22069894715273</v>
      </c>
      <c r="Z100" s="51">
        <f t="shared" si="253"/>
        <v>178.34787815400472</v>
      </c>
      <c r="AA100" s="51">
        <f t="shared" si="254"/>
        <v>171.42014999640026</v>
      </c>
      <c r="AB100" s="51">
        <f t="shared" si="255"/>
        <v>164.44038016468073</v>
      </c>
      <c r="AC100" s="51">
        <f t="shared" si="256"/>
        <v>157.41200284672612</v>
      </c>
      <c r="AD100" s="51">
        <f t="shared" si="257"/>
        <v>150.33898293854978</v>
      </c>
      <c r="AE100" s="51">
        <f t="shared" si="258"/>
        <v>143.22577252093168</v>
      </c>
      <c r="AF100" s="51">
        <f t="shared" si="259"/>
        <v>136.07726208250432</v>
      </c>
      <c r="AG100" s="51">
        <f t="shared" si="260"/>
        <v>128.89872702360285</v>
      </c>
      <c r="AH100" s="51">
        <f t="shared" si="261"/>
        <v>121.69577002324084</v>
      </c>
      <c r="AI100" s="51">
        <f t="shared" si="262"/>
        <v>114.47425989341194</v>
      </c>
      <c r="AJ100" s="51">
        <f t="shared" si="263"/>
        <v>107.24026758023436</v>
      </c>
      <c r="AK100" s="50">
        <f t="shared" si="141"/>
        <v>100</v>
      </c>
      <c r="AL100" s="21"/>
      <c r="AM100" s="41">
        <v>1.3333333333333334E-2</v>
      </c>
      <c r="AN100" s="37">
        <f t="shared" si="142"/>
        <v>-1076400000</v>
      </c>
      <c r="AO100" s="39">
        <f t="shared" si="143"/>
        <v>-1054539702.2431605</v>
      </c>
      <c r="AP100" s="39">
        <f t="shared" si="144"/>
        <v>-1032656804.876949</v>
      </c>
      <c r="AQ100" s="39">
        <f t="shared" si="145"/>
        <v>-1010728957.3466243</v>
      </c>
      <c r="AR100" s="39">
        <f t="shared" si="146"/>
        <v>-988734304.41442704</v>
      </c>
      <c r="AS100" s="39">
        <f t="shared" si="147"/>
        <v>-966651726.87077427</v>
      </c>
      <c r="AT100" s="39">
        <f t="shared" si="148"/>
        <v>-944461074.00171518</v>
      </c>
      <c r="AU100" s="39">
        <f t="shared" si="149"/>
        <v>-922143385.21832693</v>
      </c>
      <c r="AV100" s="39">
        <f t="shared" si="150"/>
        <v>-899681098.38245881</v>
      </c>
      <c r="AW100" s="39">
        <f t="shared" si="151"/>
        <v>-877058242.52064466</v>
      </c>
      <c r="AX100" s="39">
        <f t="shared" si="152"/>
        <v>-854260612.80180657</v>
      </c>
      <c r="AY100" s="39">
        <f t="shared" si="153"/>
        <v>-831275925.86201346</v>
      </c>
      <c r="AZ100" s="39">
        <f t="shared" si="154"/>
        <v>-808093953.78816128</v>
      </c>
      <c r="BA100" s="39">
        <f t="shared" si="155"/>
        <v>-784706635.31891572</v>
      </c>
      <c r="BB100" s="39">
        <f t="shared" si="156"/>
        <v>-761108163.08236158</v>
      </c>
      <c r="BC100" s="39">
        <f t="shared" si="157"/>
        <v>-737295045.96215189</v>
      </c>
      <c r="BD100" s="39">
        <f t="shared" si="158"/>
        <v>-713266145.96415329</v>
      </c>
      <c r="BE100" s="39">
        <f t="shared" si="159"/>
        <v>-689022689.24022794</v>
      </c>
      <c r="BF100" s="39">
        <f t="shared" si="160"/>
        <v>-664568251.21153903</v>
      </c>
      <c r="BG100" s="39">
        <f t="shared" si="161"/>
        <v>-639908716.01738203</v>
      </c>
      <c r="BH100" s="39">
        <f t="shared" si="162"/>
        <v>-615052210.79393423</v>
      </c>
      <c r="BI100" s="39">
        <f t="shared" si="163"/>
        <v>-590009015.55755901</v>
      </c>
      <c r="BJ100" s="39">
        <f t="shared" si="164"/>
        <v>-564791449.72669959</v>
      </c>
      <c r="BK100" s="39">
        <f t="shared" si="165"/>
        <v>-539413736.56244195</v>
      </c>
      <c r="BL100" s="39">
        <f t="shared" si="166"/>
        <v>-513891847.03827447</v>
      </c>
      <c r="BM100" s="39">
        <f t="shared" si="167"/>
        <v>-488243324.86237913</v>
      </c>
      <c r="BN100" s="39">
        <f t="shared" si="168"/>
        <v>-462487094.56919551</v>
      </c>
      <c r="BO100" s="39">
        <f t="shared" si="169"/>
        <v>-436643254.7694276</v>
      </c>
      <c r="BP100" s="39">
        <f t="shared" si="170"/>
        <v>-410732858.79781222</v>
      </c>
      <c r="BQ100" s="39">
        <f t="shared" si="171"/>
        <v>-384777685.12470627</v>
      </c>
      <c r="BR100" s="37">
        <f t="shared" si="172"/>
        <v>-358800000</v>
      </c>
      <c r="BT100" s="34"/>
      <c r="BU100" s="41">
        <v>1.3333333333333334E-2</v>
      </c>
      <c r="BV100" s="37">
        <f t="shared" si="173"/>
        <v>0.40709372886650147</v>
      </c>
      <c r="BW100" s="39">
        <f t="shared" si="174"/>
        <v>0.40709372886650147</v>
      </c>
      <c r="BX100" s="39">
        <f t="shared" si="175"/>
        <v>0.40709372886650147</v>
      </c>
      <c r="BY100" s="39">
        <f t="shared" si="176"/>
        <v>0.40709372886650147</v>
      </c>
      <c r="BZ100" s="39">
        <f t="shared" si="177"/>
        <v>0.40709372886650147</v>
      </c>
      <c r="CA100" s="39">
        <f t="shared" si="178"/>
        <v>0.40709372886650147</v>
      </c>
      <c r="CB100" s="39">
        <f t="shared" si="179"/>
        <v>0.40709372886650147</v>
      </c>
      <c r="CC100" s="39">
        <f t="shared" si="180"/>
        <v>0.40709372886650147</v>
      </c>
      <c r="CD100" s="39">
        <f t="shared" si="181"/>
        <v>0.40709372886650147</v>
      </c>
      <c r="CE100" s="39">
        <f t="shared" si="182"/>
        <v>0.40709372886650147</v>
      </c>
      <c r="CF100" s="39">
        <f t="shared" si="183"/>
        <v>0.40709372886650147</v>
      </c>
      <c r="CG100" s="39">
        <f t="shared" si="184"/>
        <v>0.40709372886650147</v>
      </c>
      <c r="CH100" s="39">
        <f t="shared" si="185"/>
        <v>0.40709372886650147</v>
      </c>
      <c r="CI100" s="39">
        <f t="shared" si="186"/>
        <v>0.40709372886650147</v>
      </c>
      <c r="CJ100" s="39">
        <f t="shared" si="187"/>
        <v>0.40709372886650147</v>
      </c>
      <c r="CK100" s="39">
        <f t="shared" si="188"/>
        <v>0.40709372886650147</v>
      </c>
      <c r="CL100" s="39">
        <f t="shared" si="189"/>
        <v>0.40709372886650147</v>
      </c>
      <c r="CM100" s="39">
        <f t="shared" si="190"/>
        <v>0.40709372886650147</v>
      </c>
      <c r="CN100" s="39">
        <f t="shared" si="191"/>
        <v>0.40709372886650147</v>
      </c>
      <c r="CO100" s="39">
        <f t="shared" si="192"/>
        <v>0.40709372886650147</v>
      </c>
      <c r="CP100" s="39">
        <f t="shared" si="193"/>
        <v>0.40709372886650147</v>
      </c>
      <c r="CQ100" s="39">
        <f t="shared" si="194"/>
        <v>0.40709372886650147</v>
      </c>
      <c r="CR100" s="39">
        <f t="shared" si="195"/>
        <v>0.40709372886650147</v>
      </c>
      <c r="CS100" s="39">
        <f t="shared" si="196"/>
        <v>0.40709372886650147</v>
      </c>
      <c r="CT100" s="39">
        <f t="shared" si="197"/>
        <v>0.40709372886650147</v>
      </c>
      <c r="CU100" s="39">
        <f t="shared" si="198"/>
        <v>0.40709372886650147</v>
      </c>
      <c r="CV100" s="39">
        <f t="shared" si="199"/>
        <v>0.40709372886650147</v>
      </c>
      <c r="CW100" s="39">
        <f t="shared" si="200"/>
        <v>0.40709372886650147</v>
      </c>
      <c r="CX100" s="39">
        <f t="shared" si="201"/>
        <v>0.40709372886650147</v>
      </c>
      <c r="CY100" s="39">
        <f t="shared" si="202"/>
        <v>0.40709372886650147</v>
      </c>
      <c r="CZ100" s="37">
        <f t="shared" si="203"/>
        <v>0.40709372886650147</v>
      </c>
      <c r="DB100" s="34"/>
      <c r="DC100" s="41">
        <v>1.3333333333333334E-2</v>
      </c>
      <c r="DD100" s="37">
        <f t="shared" si="204"/>
        <v>177.87188134004958</v>
      </c>
      <c r="DE100" s="39">
        <f t="shared" si="205"/>
        <v>174.2594339608535</v>
      </c>
      <c r="DF100" s="39">
        <f t="shared" si="206"/>
        <v>170.6432531730363</v>
      </c>
      <c r="DG100" s="39">
        <f t="shared" si="207"/>
        <v>167.01964671005857</v>
      </c>
      <c r="DH100" s="39">
        <f t="shared" si="208"/>
        <v>163.38500412833343</v>
      </c>
      <c r="DI100" s="39">
        <f t="shared" si="209"/>
        <v>159.73583657118891</v>
      </c>
      <c r="DJ100" s="39">
        <f t="shared" si="210"/>
        <v>156.06881517117219</v>
      </c>
      <c r="DK100" s="39">
        <f t="shared" si="211"/>
        <v>152.38080766216785</v>
      </c>
      <c r="DL100" s="39">
        <f t="shared" si="212"/>
        <v>148.66891279405775</v>
      </c>
      <c r="DM100" s="39">
        <f t="shared" si="213"/>
        <v>144.93049216864182</v>
      </c>
      <c r="DN100" s="39">
        <f t="shared" si="214"/>
        <v>141.16319914588689</v>
      </c>
      <c r="DO100" s="39">
        <f t="shared" si="215"/>
        <v>137.36500450386023</v>
      </c>
      <c r="DP100" s="39">
        <f t="shared" si="216"/>
        <v>133.53421857345259</v>
      </c>
      <c r="DQ100" s="39">
        <f t="shared" si="217"/>
        <v>129.6695096096993</v>
      </c>
      <c r="DR100" s="39">
        <f t="shared" si="218"/>
        <v>125.76991820462969</v>
      </c>
      <c r="DS100" s="39">
        <f t="shared" si="219"/>
        <v>121.8348675915546</v>
      </c>
      <c r="DT100" s="39">
        <f t="shared" si="220"/>
        <v>117.86416973698459</v>
      </c>
      <c r="DU100" s="39">
        <f t="shared" si="221"/>
        <v>113.85802716338624</v>
      </c>
      <c r="DV100" s="39">
        <f t="shared" si="222"/>
        <v>109.81703049318853</v>
      </c>
      <c r="DW100" s="39">
        <f t="shared" si="223"/>
        <v>105.74215175130264</v>
      </c>
      <c r="DX100" s="39">
        <f t="shared" si="224"/>
        <v>101.63473350941379</v>
      </c>
      <c r="DY100" s="39">
        <f t="shared" si="225"/>
        <v>97.496473999952244</v>
      </c>
      <c r="DZ100" s="39">
        <f t="shared" si="226"/>
        <v>93.329408370513818</v>
      </c>
      <c r="EA100" s="39">
        <f t="shared" si="227"/>
        <v>89.13588629015662</v>
      </c>
      <c r="EB100" s="39">
        <f t="shared" si="228"/>
        <v>84.918546157084506</v>
      </c>
      <c r="EC100" s="39">
        <f t="shared" si="229"/>
        <v>80.680286192396963</v>
      </c>
      <c r="ED100" s="39">
        <f t="shared" si="230"/>
        <v>76.424232736551033</v>
      </c>
      <c r="EE100" s="39">
        <f t="shared" si="231"/>
        <v>72.153706093680626</v>
      </c>
      <c r="EF100" s="39">
        <f t="shared" si="232"/>
        <v>67.872184293736581</v>
      </c>
      <c r="EG100" s="39">
        <f t="shared" si="233"/>
        <v>63.583265163361723</v>
      </c>
      <c r="EH100" s="37">
        <f t="shared" si="234"/>
        <v>59.290627113349856</v>
      </c>
    </row>
    <row r="101" spans="5:138" x14ac:dyDescent="0.25">
      <c r="E101" s="32"/>
      <c r="F101" s="41">
        <v>0.01</v>
      </c>
      <c r="G101" s="50">
        <f t="shared" si="139"/>
        <v>300</v>
      </c>
      <c r="H101" s="51">
        <f t="shared" si="235"/>
        <v>293.90719029457529</v>
      </c>
      <c r="I101" s="51">
        <f t="shared" si="236"/>
        <v>287.80808413128352</v>
      </c>
      <c r="J101" s="51">
        <f t="shared" si="237"/>
        <v>281.69645443871593</v>
      </c>
      <c r="K101" s="51">
        <f t="shared" si="238"/>
        <v>275.56621214056071</v>
      </c>
      <c r="L101" s="51">
        <f t="shared" si="239"/>
        <v>269.4114732178993</v>
      </c>
      <c r="M101" s="51">
        <f t="shared" si="240"/>
        <v>263.22662347510061</v>
      </c>
      <c r="N101" s="51">
        <f t="shared" si="241"/>
        <v>257.0063802866074</v>
      </c>
      <c r="O101" s="51">
        <f t="shared" si="242"/>
        <v>250.74585063775538</v>
      </c>
      <c r="P101" s="51">
        <f t="shared" si="243"/>
        <v>244.44058481659604</v>
      </c>
      <c r="Q101" s="51">
        <f t="shared" si="244"/>
        <v>238.08662516487118</v>
      </c>
      <c r="R101" s="51">
        <f t="shared" si="245"/>
        <v>231.68054935411541</v>
      </c>
      <c r="S101" s="51">
        <f t="shared" si="246"/>
        <v>225.21950771651763</v>
      </c>
      <c r="T101" s="51">
        <f t="shared" si="247"/>
        <v>218.70125422881932</v>
      </c>
      <c r="U101" s="51">
        <f t="shared" si="248"/>
        <v>212.12417082024621</v>
      </c>
      <c r="V101" s="51">
        <f t="shared" si="249"/>
        <v>205.48728475132839</v>
      </c>
      <c r="W101" s="51">
        <f t="shared" si="250"/>
        <v>198.79027888851522</v>
      </c>
      <c r="X101" s="51">
        <f t="shared" si="251"/>
        <v>192.03349477878334</v>
      </c>
      <c r="Y101" s="51">
        <f t="shared" si="252"/>
        <v>185.21792850804565</v>
      </c>
      <c r="Z101" s="51">
        <f t="shared" si="253"/>
        <v>178.34521940618529</v>
      </c>
      <c r="AA101" s="51">
        <f t="shared" si="254"/>
        <v>171.41763173911102</v>
      </c>
      <c r="AB101" s="51">
        <f t="shared" si="255"/>
        <v>164.43802960353389</v>
      </c>
      <c r="AC101" s="51">
        <f t="shared" si="256"/>
        <v>157.40984531245701</v>
      </c>
      <c r="AD101" s="51">
        <f t="shared" si="257"/>
        <v>150.33704162794086</v>
      </c>
      <c r="AE101" s="51">
        <f t="shared" si="258"/>
        <v>143.22406826194049</v>
      </c>
      <c r="AF101" s="51">
        <f t="shared" si="259"/>
        <v>136.07581312532824</v>
      </c>
      <c r="AG101" s="51">
        <f t="shared" si="260"/>
        <v>128.89754885913177</v>
      </c>
      <c r="AH101" s="51">
        <f t="shared" si="261"/>
        <v>121.69487523008559</v>
      </c>
      <c r="AI101" s="51">
        <f t="shared" si="262"/>
        <v>114.47365801445707</v>
      </c>
      <c r="AJ101" s="51">
        <f t="shared" si="263"/>
        <v>107.23996502944321</v>
      </c>
      <c r="AK101" s="50">
        <f t="shared" si="141"/>
        <v>100</v>
      </c>
      <c r="AL101" s="21"/>
      <c r="AM101" s="41">
        <v>0.01</v>
      </c>
      <c r="AN101" s="37">
        <f t="shared" si="142"/>
        <v>-1076400000</v>
      </c>
      <c r="AO101" s="39">
        <f t="shared" si="143"/>
        <v>-1054538581.7267547</v>
      </c>
      <c r="AP101" s="39">
        <f t="shared" si="144"/>
        <v>-1032654576.4574361</v>
      </c>
      <c r="AQ101" s="39">
        <f t="shared" si="145"/>
        <v>-1010725646.0976466</v>
      </c>
      <c r="AR101" s="39">
        <f t="shared" si="146"/>
        <v>-988729947.56638682</v>
      </c>
      <c r="AS101" s="39">
        <f t="shared" si="147"/>
        <v>-966646373.36121702</v>
      </c>
      <c r="AT101" s="39">
        <f t="shared" si="148"/>
        <v>-944454783.88644195</v>
      </c>
      <c r="AU101" s="39">
        <f t="shared" si="149"/>
        <v>-922136228.9520036</v>
      </c>
      <c r="AV101" s="39">
        <f t="shared" si="150"/>
        <v>-899673155.97930372</v>
      </c>
      <c r="AW101" s="39">
        <f t="shared" si="151"/>
        <v>-877049602.60735047</v>
      </c>
      <c r="AX101" s="39">
        <f t="shared" si="152"/>
        <v>-854251371.57615912</v>
      </c>
      <c r="AY101" s="39">
        <f t="shared" si="153"/>
        <v>-831266185.97170591</v>
      </c>
      <c r="AZ101" s="39">
        <f t="shared" si="154"/>
        <v>-808083823.14502573</v>
      </c>
      <c r="BA101" s="39">
        <f t="shared" si="155"/>
        <v>-784696225.8642385</v>
      </c>
      <c r="BB101" s="39">
        <f t="shared" si="156"/>
        <v>-761097589.51909268</v>
      </c>
      <c r="BC101" s="39">
        <f t="shared" si="157"/>
        <v>-737284424.46969867</v>
      </c>
      <c r="BD101" s="39">
        <f t="shared" si="158"/>
        <v>-713255592.91107142</v>
      </c>
      <c r="BE101" s="39">
        <f t="shared" si="159"/>
        <v>-689012319.90953171</v>
      </c>
      <c r="BF101" s="39">
        <f t="shared" si="160"/>
        <v>-664558178.5525682</v>
      </c>
      <c r="BG101" s="39">
        <f t="shared" si="161"/>
        <v>-639899049.4372375</v>
      </c>
      <c r="BH101" s="39">
        <f t="shared" si="162"/>
        <v>-615043055.00044286</v>
      </c>
      <c r="BI101" s="39">
        <f t="shared" si="163"/>
        <v>-590000469.46461928</v>
      </c>
      <c r="BJ101" s="39">
        <f t="shared" si="164"/>
        <v>-564783605.4316982</v>
      </c>
      <c r="BK101" s="39">
        <f t="shared" si="165"/>
        <v>-539406678.40427423</v>
      </c>
      <c r="BL101" s="39">
        <f t="shared" si="166"/>
        <v>-513885650.74336165</v>
      </c>
      <c r="BM101" s="39">
        <f t="shared" si="167"/>
        <v>-488238056.78498673</v>
      </c>
      <c r="BN101" s="39">
        <f t="shared" si="168"/>
        <v>-462482811.03132838</v>
      </c>
      <c r="BO101" s="39">
        <f t="shared" si="169"/>
        <v>-436640001.50462449</v>
      </c>
      <c r="BP101" s="39">
        <f t="shared" si="170"/>
        <v>-410730670.50228804</v>
      </c>
      <c r="BQ101" s="39">
        <f t="shared" si="171"/>
        <v>-384776585.11849201</v>
      </c>
      <c r="BR101" s="37">
        <f t="shared" si="172"/>
        <v>-358800000</v>
      </c>
      <c r="BT101" s="34"/>
      <c r="BU101" s="41">
        <v>0.01</v>
      </c>
      <c r="BV101" s="37">
        <f t="shared" si="173"/>
        <v>0.41022990753415084</v>
      </c>
      <c r="BW101" s="39">
        <f t="shared" si="174"/>
        <v>0.41022990753415084</v>
      </c>
      <c r="BX101" s="39">
        <f t="shared" si="175"/>
        <v>0.41022990753415084</v>
      </c>
      <c r="BY101" s="39">
        <f t="shared" si="176"/>
        <v>0.41022990753415084</v>
      </c>
      <c r="BZ101" s="39">
        <f t="shared" si="177"/>
        <v>0.41022990753415084</v>
      </c>
      <c r="CA101" s="39">
        <f t="shared" si="178"/>
        <v>0.41022990753415084</v>
      </c>
      <c r="CB101" s="39">
        <f t="shared" si="179"/>
        <v>0.41022990753415084</v>
      </c>
      <c r="CC101" s="39">
        <f t="shared" si="180"/>
        <v>0.41022990753415084</v>
      </c>
      <c r="CD101" s="39">
        <f t="shared" si="181"/>
        <v>0.41022990753415084</v>
      </c>
      <c r="CE101" s="39">
        <f t="shared" si="182"/>
        <v>0.41022990753415084</v>
      </c>
      <c r="CF101" s="39">
        <f t="shared" si="183"/>
        <v>0.41022990753415084</v>
      </c>
      <c r="CG101" s="39">
        <f t="shared" si="184"/>
        <v>0.41022990753415084</v>
      </c>
      <c r="CH101" s="39">
        <f t="shared" si="185"/>
        <v>0.41022990753415084</v>
      </c>
      <c r="CI101" s="39">
        <f t="shared" si="186"/>
        <v>0.41022990753415084</v>
      </c>
      <c r="CJ101" s="39">
        <f t="shared" si="187"/>
        <v>0.41022990753415084</v>
      </c>
      <c r="CK101" s="39">
        <f t="shared" si="188"/>
        <v>0.41022990753415084</v>
      </c>
      <c r="CL101" s="39">
        <f t="shared" si="189"/>
        <v>0.41022990753415084</v>
      </c>
      <c r="CM101" s="39">
        <f t="shared" si="190"/>
        <v>0.41022990753415084</v>
      </c>
      <c r="CN101" s="39">
        <f t="shared" si="191"/>
        <v>0.41022990753415084</v>
      </c>
      <c r="CO101" s="39">
        <f t="shared" si="192"/>
        <v>0.41022990753415084</v>
      </c>
      <c r="CP101" s="39">
        <f t="shared" si="193"/>
        <v>0.41022990753415084</v>
      </c>
      <c r="CQ101" s="39">
        <f t="shared" si="194"/>
        <v>0.41022990753415084</v>
      </c>
      <c r="CR101" s="39">
        <f t="shared" si="195"/>
        <v>0.41022990753415084</v>
      </c>
      <c r="CS101" s="39">
        <f t="shared" si="196"/>
        <v>0.41022990753415084</v>
      </c>
      <c r="CT101" s="39">
        <f t="shared" si="197"/>
        <v>0.41022990753415084</v>
      </c>
      <c r="CU101" s="39">
        <f t="shared" si="198"/>
        <v>0.41022990753415084</v>
      </c>
      <c r="CV101" s="39">
        <f t="shared" si="199"/>
        <v>0.41022990753415084</v>
      </c>
      <c r="CW101" s="39">
        <f t="shared" si="200"/>
        <v>0.41022990753415084</v>
      </c>
      <c r="CX101" s="39">
        <f t="shared" si="201"/>
        <v>0.41022990753415084</v>
      </c>
      <c r="CY101" s="39">
        <f t="shared" si="202"/>
        <v>0.41022990753415084</v>
      </c>
      <c r="CZ101" s="37">
        <f t="shared" si="203"/>
        <v>0.41022990753415084</v>
      </c>
      <c r="DB101" s="34"/>
      <c r="DC101" s="41">
        <v>0.01</v>
      </c>
      <c r="DD101" s="37">
        <f t="shared" si="204"/>
        <v>176.93102773975474</v>
      </c>
      <c r="DE101" s="39">
        <f t="shared" si="205"/>
        <v>173.33754436572247</v>
      </c>
      <c r="DF101" s="39">
        <f t="shared" si="206"/>
        <v>169.74034895235982</v>
      </c>
      <c r="DG101" s="39">
        <f t="shared" si="207"/>
        <v>166.13577036513516</v>
      </c>
      <c r="DH101" s="39">
        <f t="shared" si="208"/>
        <v>162.52021882064176</v>
      </c>
      <c r="DI101" s="39">
        <f t="shared" si="209"/>
        <v>158.89022542145668</v>
      </c>
      <c r="DJ101" s="39">
        <f t="shared" si="210"/>
        <v>155.24248033741293</v>
      </c>
      <c r="DK101" s="39">
        <f t="shared" si="211"/>
        <v>151.57386920728192</v>
      </c>
      <c r="DL101" s="39">
        <f t="shared" si="212"/>
        <v>147.8815073559814</v>
      </c>
      <c r="DM101" s="39">
        <f t="shared" si="213"/>
        <v>144.16277144824681</v>
      </c>
      <c r="DN101" s="39">
        <f t="shared" si="214"/>
        <v>140.41532822985809</v>
      </c>
      <c r="DO101" s="39">
        <f t="shared" si="215"/>
        <v>136.63716004158596</v>
      </c>
      <c r="DP101" s="39">
        <f t="shared" si="216"/>
        <v>132.82658682853116</v>
      </c>
      <c r="DQ101" s="39">
        <f t="shared" si="217"/>
        <v>128.98228440798241</v>
      </c>
      <c r="DR101" s="39">
        <f t="shared" si="218"/>
        <v>125.10329880177265</v>
      </c>
      <c r="DS101" s="39">
        <f t="shared" si="219"/>
        <v>121.18905648382353</v>
      </c>
      <c r="DT101" s="39">
        <f t="shared" si="220"/>
        <v>117.23937043956957</v>
      </c>
      <c r="DU101" s="39">
        <f t="shared" si="221"/>
        <v>113.25444198069491</v>
      </c>
      <c r="DV101" s="39">
        <f t="shared" si="222"/>
        <v>109.23485830554439</v>
      </c>
      <c r="DW101" s="39">
        <f t="shared" si="223"/>
        <v>105.18158584215594</v>
      </c>
      <c r="DX101" s="39">
        <f t="shared" si="224"/>
        <v>101.09595945659746</v>
      </c>
      <c r="DY101" s="39">
        <f t="shared" si="225"/>
        <v>96.979667653696296</v>
      </c>
      <c r="DZ101" s="39">
        <f t="shared" si="226"/>
        <v>92.834733939879058</v>
      </c>
      <c r="EA101" s="39">
        <f t="shared" si="227"/>
        <v>88.663494558281315</v>
      </c>
      <c r="EB101" s="39">
        <f t="shared" si="228"/>
        <v>84.468572844171362</v>
      </c>
      <c r="EC101" s="39">
        <f t="shared" si="229"/>
        <v>80.252850483722099</v>
      </c>
      <c r="ED101" s="39">
        <f t="shared" si="230"/>
        <v>76.019435990969427</v>
      </c>
      <c r="EE101" s="39">
        <f t="shared" si="231"/>
        <v>71.771630746154216</v>
      </c>
      <c r="EF101" s="39">
        <f t="shared" si="232"/>
        <v>67.512892963342338</v>
      </c>
      <c r="EG101" s="39">
        <f t="shared" si="233"/>
        <v>63.246799976066079</v>
      </c>
      <c r="EH101" s="37">
        <f t="shared" si="234"/>
        <v>58.977009246584913</v>
      </c>
    </row>
    <row r="102" spans="5:138" x14ac:dyDescent="0.25">
      <c r="E102" s="32"/>
      <c r="F102" s="41">
        <v>6.6666666666666671E-3</v>
      </c>
      <c r="G102" s="50">
        <f t="shared" si="139"/>
        <v>300</v>
      </c>
      <c r="H102" s="51">
        <f t="shared" si="235"/>
        <v>293.90698283662482</v>
      </c>
      <c r="I102" s="51">
        <f t="shared" si="236"/>
        <v>287.80767155067781</v>
      </c>
      <c r="J102" s="51">
        <f t="shared" si="237"/>
        <v>281.69584137772654</v>
      </c>
      <c r="K102" s="51">
        <f t="shared" si="238"/>
        <v>275.56540549222757</v>
      </c>
      <c r="L102" s="51">
        <f t="shared" si="239"/>
        <v>269.41048204278542</v>
      </c>
      <c r="M102" s="51">
        <f t="shared" si="240"/>
        <v>263.22545889226126</v>
      </c>
      <c r="N102" s="51">
        <f t="shared" si="241"/>
        <v>257.00505534039678</v>
      </c>
      <c r="O102" s="51">
        <f t="shared" si="242"/>
        <v>250.74438014243088</v>
      </c>
      <c r="P102" s="51">
        <f t="shared" si="243"/>
        <v>244.43898518096921</v>
      </c>
      <c r="Q102" s="51">
        <f t="shared" si="244"/>
        <v>238.08491419950002</v>
      </c>
      <c r="R102" s="51">
        <f t="shared" si="245"/>
        <v>231.67874606372067</v>
      </c>
      <c r="S102" s="51">
        <f t="shared" si="246"/>
        <v>225.21763208044226</v>
      </c>
      <c r="T102" s="51">
        <f t="shared" si="247"/>
        <v>218.69932697243172</v>
      </c>
      <c r="U102" s="51">
        <f t="shared" si="248"/>
        <v>212.12221318021435</v>
      </c>
      <c r="V102" s="51">
        <f t="shared" si="249"/>
        <v>205.48531823766973</v>
      </c>
      <c r="W102" s="51">
        <f t="shared" si="250"/>
        <v>198.78832504625791</v>
      </c>
      <c r="X102" s="51">
        <f t="shared" si="251"/>
        <v>192.03157495196399</v>
      </c>
      <c r="Y102" s="51">
        <f t="shared" si="252"/>
        <v>185.21606360862444</v>
      </c>
      <c r="Z102" s="51">
        <f t="shared" si="253"/>
        <v>178.34342969028751</v>
      </c>
      <c r="AA102" s="51">
        <f t="shared" si="254"/>
        <v>171.41593659280906</v>
      </c>
      <c r="AB102" s="51">
        <f t="shared" si="255"/>
        <v>164.43644734017937</v>
      </c>
      <c r="AC102" s="51">
        <f t="shared" si="256"/>
        <v>157.40839298335635</v>
      </c>
      <c r="AD102" s="51">
        <f t="shared" si="257"/>
        <v>150.3357348479546</v>
      </c>
      <c r="AE102" s="51">
        <f t="shared" si="258"/>
        <v>143.22292105137464</v>
      </c>
      <c r="AF102" s="51">
        <f t="shared" si="259"/>
        <v>136.0748377692853</v>
      </c>
      <c r="AG102" s="51">
        <f t="shared" si="260"/>
        <v>128.89675578529753</v>
      </c>
      <c r="AH102" s="51">
        <f t="shared" si="261"/>
        <v>121.69427290575226</v>
      </c>
      <c r="AI102" s="51">
        <f t="shared" si="262"/>
        <v>114.47325286342105</v>
      </c>
      <c r="AJ102" s="51">
        <f t="shared" si="263"/>
        <v>107.23976136926808</v>
      </c>
      <c r="AK102" s="50">
        <f t="shared" si="141"/>
        <v>100</v>
      </c>
      <c r="AL102" s="21"/>
      <c r="AM102" s="41">
        <v>6.6666666666666671E-3</v>
      </c>
      <c r="AN102" s="37">
        <f t="shared" si="142"/>
        <v>-1076400000</v>
      </c>
      <c r="AO102" s="39">
        <f t="shared" si="143"/>
        <v>-1054537827.4682639</v>
      </c>
      <c r="AP102" s="39">
        <f t="shared" si="144"/>
        <v>-1032653076.4308184</v>
      </c>
      <c r="AQ102" s="39">
        <f t="shared" si="145"/>
        <v>-1010723417.1806755</v>
      </c>
      <c r="AR102" s="39">
        <f t="shared" si="146"/>
        <v>-988727014.81990266</v>
      </c>
      <c r="AS102" s="39">
        <f t="shared" si="147"/>
        <v>-966642769.72648573</v>
      </c>
      <c r="AT102" s="39">
        <f t="shared" si="148"/>
        <v>-944450549.78877211</v>
      </c>
      <c r="AU102" s="39">
        <f t="shared" si="149"/>
        <v>-922131411.81651795</v>
      </c>
      <c r="AV102" s="39">
        <f t="shared" si="150"/>
        <v>-899667809.66599083</v>
      </c>
      <c r="AW102" s="39">
        <f t="shared" si="151"/>
        <v>-877043786.77357388</v>
      </c>
      <c r="AX102" s="39">
        <f t="shared" si="152"/>
        <v>-854245150.97569036</v>
      </c>
      <c r="AY102" s="39">
        <f t="shared" si="153"/>
        <v>-831259629.7000351</v>
      </c>
      <c r="AZ102" s="39">
        <f t="shared" si="154"/>
        <v>-808077003.84119713</v>
      </c>
      <c r="BA102" s="39">
        <f t="shared" si="155"/>
        <v>-784689218.87975717</v>
      </c>
      <c r="BB102" s="39">
        <f t="shared" si="156"/>
        <v>-761090472.06454134</v>
      </c>
      <c r="BC102" s="39">
        <f t="shared" si="157"/>
        <v>-737277274.74962759</v>
      </c>
      <c r="BD102" s="39">
        <f t="shared" si="158"/>
        <v>-713248489.25746763</v>
      </c>
      <c r="BE102" s="39">
        <f t="shared" si="159"/>
        <v>-689005339.9237777</v>
      </c>
      <c r="BF102" s="39">
        <f t="shared" si="160"/>
        <v>-664551398.26527345</v>
      </c>
      <c r="BG102" s="39">
        <f t="shared" si="161"/>
        <v>-639892542.49469733</v>
      </c>
      <c r="BH102" s="39">
        <f t="shared" si="162"/>
        <v>-615036891.88578284</v>
      </c>
      <c r="BI102" s="39">
        <f t="shared" si="163"/>
        <v>-589994716.76092398</v>
      </c>
      <c r="BJ102" s="39">
        <f t="shared" si="164"/>
        <v>-564778325.13365197</v>
      </c>
      <c r="BK102" s="39">
        <f t="shared" si="165"/>
        <v>-539401927.2840569</v>
      </c>
      <c r="BL102" s="39">
        <f t="shared" si="166"/>
        <v>-513881479.77577746</v>
      </c>
      <c r="BM102" s="39">
        <f t="shared" si="167"/>
        <v>-488234510.63607055</v>
      </c>
      <c r="BN102" s="39">
        <f t="shared" si="168"/>
        <v>-462479927.61398214</v>
      </c>
      <c r="BO102" s="39">
        <f t="shared" si="169"/>
        <v>-436637811.60419428</v>
      </c>
      <c r="BP102" s="39">
        <f t="shared" si="170"/>
        <v>-410729197.47440302</v>
      </c>
      <c r="BQ102" s="39">
        <f t="shared" si="171"/>
        <v>-384775844.66095144</v>
      </c>
      <c r="BR102" s="37">
        <f t="shared" si="172"/>
        <v>-358800000</v>
      </c>
      <c r="BT102" s="34"/>
      <c r="BU102" s="41">
        <v>6.6666666666666671E-3</v>
      </c>
      <c r="BV102" s="37">
        <f t="shared" si="173"/>
        <v>0.42900919305413682</v>
      </c>
      <c r="BW102" s="39">
        <f t="shared" si="174"/>
        <v>0.42900919305413682</v>
      </c>
      <c r="BX102" s="39">
        <f t="shared" si="175"/>
        <v>0.42900919305413682</v>
      </c>
      <c r="BY102" s="39">
        <f t="shared" si="176"/>
        <v>0.42900919305413682</v>
      </c>
      <c r="BZ102" s="39">
        <f t="shared" si="177"/>
        <v>0.42900919305413682</v>
      </c>
      <c r="CA102" s="39">
        <f t="shared" si="178"/>
        <v>0.42900919305413682</v>
      </c>
      <c r="CB102" s="39">
        <f t="shared" si="179"/>
        <v>0.42900919305413682</v>
      </c>
      <c r="CC102" s="39">
        <f t="shared" si="180"/>
        <v>0.42900919305413682</v>
      </c>
      <c r="CD102" s="39">
        <f t="shared" si="181"/>
        <v>0.42900919305413682</v>
      </c>
      <c r="CE102" s="39">
        <f t="shared" si="182"/>
        <v>0.42900919305413682</v>
      </c>
      <c r="CF102" s="39">
        <f t="shared" si="183"/>
        <v>0.42900919305413682</v>
      </c>
      <c r="CG102" s="39">
        <f t="shared" si="184"/>
        <v>0.42900919305413682</v>
      </c>
      <c r="CH102" s="39">
        <f t="shared" si="185"/>
        <v>0.42900919305413682</v>
      </c>
      <c r="CI102" s="39">
        <f t="shared" si="186"/>
        <v>0.42900919305413682</v>
      </c>
      <c r="CJ102" s="39">
        <f t="shared" si="187"/>
        <v>0.42900919305413682</v>
      </c>
      <c r="CK102" s="39">
        <f t="shared" si="188"/>
        <v>0.42900919305413682</v>
      </c>
      <c r="CL102" s="39">
        <f t="shared" si="189"/>
        <v>0.42900919305413682</v>
      </c>
      <c r="CM102" s="39">
        <f t="shared" si="190"/>
        <v>0.42900919305413682</v>
      </c>
      <c r="CN102" s="39">
        <f t="shared" si="191"/>
        <v>0.42900919305413682</v>
      </c>
      <c r="CO102" s="39">
        <f t="shared" si="192"/>
        <v>0.42900919305413682</v>
      </c>
      <c r="CP102" s="39">
        <f t="shared" si="193"/>
        <v>0.42900919305413682</v>
      </c>
      <c r="CQ102" s="39">
        <f t="shared" si="194"/>
        <v>0.42900919305413682</v>
      </c>
      <c r="CR102" s="39">
        <f t="shared" si="195"/>
        <v>0.42900919305413682</v>
      </c>
      <c r="CS102" s="39">
        <f t="shared" si="196"/>
        <v>0.42900919305413682</v>
      </c>
      <c r="CT102" s="39">
        <f t="shared" si="197"/>
        <v>0.42900919305413682</v>
      </c>
      <c r="CU102" s="39">
        <f t="shared" si="198"/>
        <v>0.42900919305413682</v>
      </c>
      <c r="CV102" s="39">
        <f t="shared" si="199"/>
        <v>0.42900919305413682</v>
      </c>
      <c r="CW102" s="39">
        <f t="shared" si="200"/>
        <v>0.42900919305413682</v>
      </c>
      <c r="CX102" s="39">
        <f t="shared" si="201"/>
        <v>0.42900919305413682</v>
      </c>
      <c r="CY102" s="39">
        <f t="shared" si="202"/>
        <v>0.42900919305413682</v>
      </c>
      <c r="CZ102" s="37">
        <f t="shared" si="203"/>
        <v>0.42900919305413682</v>
      </c>
      <c r="DB102" s="34"/>
      <c r="DC102" s="41">
        <v>6.6666666666666671E-3</v>
      </c>
      <c r="DD102" s="37">
        <f t="shared" si="204"/>
        <v>171.29724208375893</v>
      </c>
      <c r="DE102" s="39">
        <f t="shared" si="205"/>
        <v>167.81809629554041</v>
      </c>
      <c r="DF102" s="39">
        <f t="shared" si="206"/>
        <v>164.33535762305874</v>
      </c>
      <c r="DG102" s="39">
        <f t="shared" si="207"/>
        <v>160.84547277276161</v>
      </c>
      <c r="DH102" s="39">
        <f t="shared" si="208"/>
        <v>157.34496718882053</v>
      </c>
      <c r="DI102" s="39">
        <f t="shared" si="209"/>
        <v>153.83048331804827</v>
      </c>
      <c r="DJ102" s="39">
        <f t="shared" si="210"/>
        <v>150.29881756484323</v>
      </c>
      <c r="DK102" s="39">
        <f t="shared" si="211"/>
        <v>146.74695552387476</v>
      </c>
      <c r="DL102" s="39">
        <f t="shared" si="212"/>
        <v>143.17210509865433</v>
      </c>
      <c r="DM102" s="39">
        <f t="shared" si="213"/>
        <v>139.57172713912007</v>
      </c>
      <c r="DN102" s="39">
        <f t="shared" si="214"/>
        <v>135.94356326053591</v>
      </c>
      <c r="DO102" s="39">
        <f t="shared" si="215"/>
        <v>132.28566053897251</v>
      </c>
      <c r="DP102" s="39">
        <f t="shared" si="216"/>
        <v>128.59639281492909</v>
      </c>
      <c r="DQ102" s="39">
        <f t="shared" si="217"/>
        <v>124.87447837579833</v>
      </c>
      <c r="DR102" s="39">
        <f t="shared" si="218"/>
        <v>121.11899382934264</v>
      </c>
      <c r="DS102" s="39">
        <f t="shared" si="219"/>
        <v>117.32938402361673</v>
      </c>
      <c r="DT102" s="39">
        <f t="shared" si="220"/>
        <v>113.50546791328919</v>
      </c>
      <c r="DU102" s="39">
        <f t="shared" si="221"/>
        <v>109.64744031755234</v>
      </c>
      <c r="DV102" s="39">
        <f t="shared" si="222"/>
        <v>105.75586956022897</v>
      </c>
      <c r="DW102" s="39">
        <f t="shared" si="223"/>
        <v>101.83169102777696</v>
      </c>
      <c r="DX102" s="39">
        <f t="shared" si="224"/>
        <v>97.876196725161847</v>
      </c>
      <c r="DY102" s="39">
        <f t="shared" si="225"/>
        <v>93.891020952555039</v>
      </c>
      <c r="DZ102" s="39">
        <f t="shared" si="226"/>
        <v>89.878122267082688</v>
      </c>
      <c r="EA102" s="39">
        <f t="shared" si="227"/>
        <v>85.839761933005505</v>
      </c>
      <c r="EB102" s="39">
        <f t="shared" si="228"/>
        <v>81.778479100388935</v>
      </c>
      <c r="EC102" s="39">
        <f t="shared" si="229"/>
        <v>77.697062986202724</v>
      </c>
      <c r="ED102" s="39">
        <f t="shared" si="230"/>
        <v>73.598522362585229</v>
      </c>
      <c r="EE102" s="39">
        <f t="shared" si="231"/>
        <v>69.486052684469371</v>
      </c>
      <c r="EF102" s="39">
        <f t="shared" si="232"/>
        <v>65.363001212683599</v>
      </c>
      <c r="EG102" s="39">
        <f t="shared" si="233"/>
        <v>61.232830508832791</v>
      </c>
      <c r="EH102" s="37">
        <f t="shared" si="234"/>
        <v>57.09908069458632</v>
      </c>
    </row>
    <row r="103" spans="5:138" x14ac:dyDescent="0.25">
      <c r="E103" s="32"/>
      <c r="F103" s="41">
        <v>3.3333333333333335E-3</v>
      </c>
      <c r="G103" s="50">
        <f t="shared" si="139"/>
        <v>300</v>
      </c>
      <c r="H103" s="51">
        <f t="shared" si="235"/>
        <v>293.90687850658395</v>
      </c>
      <c r="I103" s="51">
        <f t="shared" si="236"/>
        <v>287.80746406500293</v>
      </c>
      <c r="J103" s="51">
        <f t="shared" si="237"/>
        <v>281.69553307099011</v>
      </c>
      <c r="K103" s="51">
        <f t="shared" si="238"/>
        <v>275.56499983090168</v>
      </c>
      <c r="L103" s="51">
        <f t="shared" si="239"/>
        <v>269.40998358337902</v>
      </c>
      <c r="M103" s="51">
        <f t="shared" si="240"/>
        <v>263.22487322648993</v>
      </c>
      <c r="N103" s="51">
        <f t="shared" si="241"/>
        <v>257.00438902820213</v>
      </c>
      <c r="O103" s="51">
        <f t="shared" si="242"/>
        <v>250.74364063383376</v>
      </c>
      <c r="P103" s="51">
        <f t="shared" si="243"/>
        <v>244.43818072788923</v>
      </c>
      <c r="Q103" s="51">
        <f t="shared" si="244"/>
        <v>238.08405375879454</v>
      </c>
      <c r="R103" s="51">
        <f t="shared" si="245"/>
        <v>231.67783919279324</v>
      </c>
      <c r="S103" s="51">
        <f t="shared" si="246"/>
        <v>225.21668882683784</v>
      </c>
      <c r="T103" s="51">
        <f t="shared" si="247"/>
        <v>218.69835775887697</v>
      </c>
      <c r="U103" s="51">
        <f t="shared" si="248"/>
        <v>212.12122868657565</v>
      </c>
      <c r="V103" s="51">
        <f t="shared" si="249"/>
        <v>205.48432928128926</v>
      </c>
      <c r="W103" s="51">
        <f t="shared" si="250"/>
        <v>198.78734246209382</v>
      </c>
      <c r="X103" s="51">
        <f t="shared" si="251"/>
        <v>192.03060947390526</v>
      </c>
      <c r="Y103" s="51">
        <f t="shared" si="252"/>
        <v>185.21512575327839</v>
      </c>
      <c r="Z103" s="51">
        <f t="shared" si="253"/>
        <v>178.34252964445113</v>
      </c>
      <c r="AA103" s="51">
        <f t="shared" si="254"/>
        <v>171.41508410573806</v>
      </c>
      <c r="AB103" s="51">
        <f t="shared" si="255"/>
        <v>164.43565162166539</v>
      </c>
      <c r="AC103" s="51">
        <f t="shared" si="256"/>
        <v>157.40766260851436</v>
      </c>
      <c r="AD103" s="51">
        <f t="shared" si="257"/>
        <v>150.33507766951524</v>
      </c>
      <c r="AE103" s="51">
        <f t="shared" si="258"/>
        <v>143.22234412016985</v>
      </c>
      <c r="AF103" s="51">
        <f t="shared" si="259"/>
        <v>136.07434726351417</v>
      </c>
      <c r="AG103" s="51">
        <f t="shared" si="260"/>
        <v>128.8963569490636</v>
      </c>
      <c r="AH103" s="51">
        <f t="shared" si="261"/>
        <v>121.69396999727516</v>
      </c>
      <c r="AI103" s="51">
        <f t="shared" si="262"/>
        <v>114.47304911324295</v>
      </c>
      <c r="AJ103" s="51">
        <f t="shared" si="263"/>
        <v>107.23965894870223</v>
      </c>
      <c r="AK103" s="50">
        <f t="shared" si="141"/>
        <v>100</v>
      </c>
      <c r="AL103" s="21"/>
      <c r="AM103" s="41">
        <v>3.3333333333333335E-3</v>
      </c>
      <c r="AN103" s="37">
        <f t="shared" si="142"/>
        <v>-1076400000</v>
      </c>
      <c r="AO103" s="39">
        <f t="shared" si="143"/>
        <v>-1054537448.155254</v>
      </c>
      <c r="AP103" s="39">
        <f t="shared" si="144"/>
        <v>-1032652322.0745367</v>
      </c>
      <c r="AQ103" s="39">
        <f t="shared" si="145"/>
        <v>-1010722296.2688239</v>
      </c>
      <c r="AR103" s="39">
        <f t="shared" si="146"/>
        <v>-988725539.95538604</v>
      </c>
      <c r="AS103" s="39">
        <f t="shared" si="147"/>
        <v>-966640957.47522104</v>
      </c>
      <c r="AT103" s="39">
        <f t="shared" si="148"/>
        <v>-944448420.48035228</v>
      </c>
      <c r="AU103" s="39">
        <f t="shared" si="149"/>
        <v>-922128989.30070317</v>
      </c>
      <c r="AV103" s="39">
        <f t="shared" si="150"/>
        <v>-899665121.02860343</v>
      </c>
      <c r="AW103" s="39">
        <f t="shared" si="151"/>
        <v>-877040862.01591539</v>
      </c>
      <c r="AX103" s="39">
        <f t="shared" si="152"/>
        <v>-854242022.66203415</v>
      </c>
      <c r="AY103" s="39">
        <f t="shared" si="153"/>
        <v>-831256332.57810259</v>
      </c>
      <c r="AZ103" s="39">
        <f t="shared" si="154"/>
        <v>-808073574.44077182</v>
      </c>
      <c r="BA103" s="39">
        <f t="shared" si="155"/>
        <v>-784685695.09473395</v>
      </c>
      <c r="BB103" s="39">
        <f t="shared" si="156"/>
        <v>-761086892.72376919</v>
      </c>
      <c r="BC103" s="39">
        <f t="shared" si="157"/>
        <v>-737273679.18185079</v>
      </c>
      <c r="BD103" s="39">
        <f t="shared" si="158"/>
        <v>-713244916.85555315</v>
      </c>
      <c r="BE103" s="39">
        <f t="shared" si="159"/>
        <v>-689001829.71320879</v>
      </c>
      <c r="BF103" s="39">
        <f t="shared" si="160"/>
        <v>-664547988.48163021</v>
      </c>
      <c r="BG103" s="39">
        <f t="shared" si="161"/>
        <v>-639889270.17452788</v>
      </c>
      <c r="BH103" s="39">
        <f t="shared" si="162"/>
        <v>-615033792.47491419</v>
      </c>
      <c r="BI103" s="39">
        <f t="shared" si="163"/>
        <v>-589991823.74388731</v>
      </c>
      <c r="BJ103" s="39">
        <f t="shared" si="164"/>
        <v>-564775669.68750358</v>
      </c>
      <c r="BK103" s="39">
        <f t="shared" si="165"/>
        <v>-539399537.95948172</v>
      </c>
      <c r="BL103" s="39">
        <f t="shared" si="166"/>
        <v>-513879382.20798153</v>
      </c>
      <c r="BM103" s="39">
        <f t="shared" si="167"/>
        <v>-488232727.28759623</v>
      </c>
      <c r="BN103" s="39">
        <f t="shared" si="168"/>
        <v>-462478477.5512318</v>
      </c>
      <c r="BO103" s="39">
        <f t="shared" si="169"/>
        <v>-436636710.30912805</v>
      </c>
      <c r="BP103" s="39">
        <f t="shared" si="170"/>
        <v>-410728456.69257826</v>
      </c>
      <c r="BQ103" s="39">
        <f t="shared" si="171"/>
        <v>-384775472.28680092</v>
      </c>
      <c r="BR103" s="37">
        <f t="shared" si="172"/>
        <v>-358800000</v>
      </c>
      <c r="BT103" s="34"/>
      <c r="BU103" s="41">
        <v>3.3333333333333335E-3</v>
      </c>
      <c r="BV103" s="37">
        <f t="shared" si="173"/>
        <v>0.5357142857142857</v>
      </c>
      <c r="BW103" s="39">
        <f t="shared" si="174"/>
        <v>0.5357142857142857</v>
      </c>
      <c r="BX103" s="39">
        <f t="shared" si="175"/>
        <v>0.5357142857142857</v>
      </c>
      <c r="BY103" s="39">
        <f t="shared" si="176"/>
        <v>0.5357142857142857</v>
      </c>
      <c r="BZ103" s="39">
        <f t="shared" si="177"/>
        <v>0.5357142857142857</v>
      </c>
      <c r="CA103" s="39">
        <f t="shared" si="178"/>
        <v>0.5357142857142857</v>
      </c>
      <c r="CB103" s="39">
        <f t="shared" si="179"/>
        <v>0.5357142857142857</v>
      </c>
      <c r="CC103" s="39">
        <f t="shared" si="180"/>
        <v>0.5357142857142857</v>
      </c>
      <c r="CD103" s="39">
        <f t="shared" si="181"/>
        <v>0.5357142857142857</v>
      </c>
      <c r="CE103" s="39">
        <f t="shared" si="182"/>
        <v>0.5357142857142857</v>
      </c>
      <c r="CF103" s="39">
        <f t="shared" si="183"/>
        <v>0.5357142857142857</v>
      </c>
      <c r="CG103" s="39">
        <f t="shared" si="184"/>
        <v>0.5357142857142857</v>
      </c>
      <c r="CH103" s="39">
        <f t="shared" si="185"/>
        <v>0.5357142857142857</v>
      </c>
      <c r="CI103" s="39">
        <f t="shared" si="186"/>
        <v>0.5357142857142857</v>
      </c>
      <c r="CJ103" s="39">
        <f t="shared" si="187"/>
        <v>0.5357142857142857</v>
      </c>
      <c r="CK103" s="39">
        <f t="shared" si="188"/>
        <v>0.5357142857142857</v>
      </c>
      <c r="CL103" s="39">
        <f t="shared" si="189"/>
        <v>0.5357142857142857</v>
      </c>
      <c r="CM103" s="39">
        <f t="shared" si="190"/>
        <v>0.5357142857142857</v>
      </c>
      <c r="CN103" s="39">
        <f t="shared" si="191"/>
        <v>0.5357142857142857</v>
      </c>
      <c r="CO103" s="39">
        <f t="shared" si="192"/>
        <v>0.5357142857142857</v>
      </c>
      <c r="CP103" s="39">
        <f t="shared" si="193"/>
        <v>0.5357142857142857</v>
      </c>
      <c r="CQ103" s="39">
        <f t="shared" si="194"/>
        <v>0.5357142857142857</v>
      </c>
      <c r="CR103" s="39">
        <f t="shared" si="195"/>
        <v>0.5357142857142857</v>
      </c>
      <c r="CS103" s="39">
        <f t="shared" si="196"/>
        <v>0.5357142857142857</v>
      </c>
      <c r="CT103" s="39">
        <f t="shared" si="197"/>
        <v>0.5357142857142857</v>
      </c>
      <c r="CU103" s="39">
        <f t="shared" si="198"/>
        <v>0.5357142857142857</v>
      </c>
      <c r="CV103" s="39">
        <f t="shared" si="199"/>
        <v>0.5357142857142857</v>
      </c>
      <c r="CW103" s="39">
        <f t="shared" si="200"/>
        <v>0.5357142857142857</v>
      </c>
      <c r="CX103" s="39">
        <f t="shared" si="201"/>
        <v>0.5357142857142857</v>
      </c>
      <c r="CY103" s="39">
        <f t="shared" si="202"/>
        <v>0.5357142857142857</v>
      </c>
      <c r="CZ103" s="37">
        <f t="shared" si="203"/>
        <v>0.5357142857142857</v>
      </c>
      <c r="DB103" s="34"/>
      <c r="DC103" s="41">
        <v>3.3333333333333335E-3</v>
      </c>
      <c r="DD103" s="37">
        <f t="shared" si="204"/>
        <v>139.28571428571431</v>
      </c>
      <c r="DE103" s="39">
        <f t="shared" si="205"/>
        <v>136.45670912982067</v>
      </c>
      <c r="DF103" s="39">
        <f t="shared" si="206"/>
        <v>133.62478287713986</v>
      </c>
      <c r="DG103" s="39">
        <f t="shared" si="207"/>
        <v>130.78704661863665</v>
      </c>
      <c r="DH103" s="39">
        <f t="shared" si="208"/>
        <v>127.94067546006549</v>
      </c>
      <c r="DI103" s="39">
        <f t="shared" si="209"/>
        <v>125.0829396318868</v>
      </c>
      <c r="DJ103" s="39">
        <f t="shared" si="210"/>
        <v>122.21123453420709</v>
      </c>
      <c r="DK103" s="39">
        <f t="shared" si="211"/>
        <v>119.32310938156098</v>
      </c>
      <c r="DL103" s="39">
        <f t="shared" si="212"/>
        <v>116.41629412896009</v>
      </c>
      <c r="DM103" s="39">
        <f t="shared" si="213"/>
        <v>113.48872438094145</v>
      </c>
      <c r="DN103" s="39">
        <f t="shared" si="214"/>
        <v>110.5385640090624</v>
      </c>
      <c r="DO103" s="39">
        <f t="shared" si="215"/>
        <v>107.56422523008575</v>
      </c>
      <c r="DP103" s="39">
        <f t="shared" si="216"/>
        <v>104.56438592660092</v>
      </c>
      <c r="DQ103" s="39">
        <f t="shared" si="217"/>
        <v>101.53800402364571</v>
      </c>
      <c r="DR103" s="39">
        <f t="shared" si="218"/>
        <v>98.484328768603689</v>
      </c>
      <c r="DS103" s="39">
        <f t="shared" si="219"/>
        <v>95.402908796823354</v>
      </c>
      <c r="DT103" s="39">
        <f t="shared" si="220"/>
        <v>92.293596901598505</v>
      </c>
      <c r="DU103" s="39">
        <f t="shared" si="221"/>
        <v>89.156551463924544</v>
      </c>
      <c r="DV103" s="39">
        <f t="shared" si="222"/>
        <v>85.992234534372443</v>
      </c>
      <c r="DW103" s="39">
        <f t="shared" si="223"/>
        <v>82.801406596082813</v>
      </c>
      <c r="DX103" s="39">
        <f t="shared" si="224"/>
        <v>79.585118073876075</v>
      </c>
      <c r="DY103" s="39">
        <f t="shared" si="225"/>
        <v>76.344697689426425</v>
      </c>
      <c r="DZ103" s="39">
        <f t="shared" si="226"/>
        <v>73.081737796002031</v>
      </c>
      <c r="EA103" s="39">
        <f t="shared" si="227"/>
        <v>69.798076858111003</v>
      </c>
      <c r="EB103" s="39">
        <f t="shared" si="228"/>
        <v>66.495779271219149</v>
      </c>
      <c r="EC103" s="39">
        <f t="shared" si="229"/>
        <v>63.177112744254181</v>
      </c>
      <c r="ED103" s="39">
        <f t="shared" si="230"/>
        <v>59.844523492654226</v>
      </c>
      <c r="EE103" s="39">
        <f t="shared" si="231"/>
        <v>56.500609512050737</v>
      </c>
      <c r="EF103" s="39">
        <f t="shared" si="232"/>
        <v>53.148092222124525</v>
      </c>
      <c r="EG103" s="39">
        <f t="shared" si="233"/>
        <v>49.789786786594327</v>
      </c>
      <c r="EH103" s="37">
        <f t="shared" si="234"/>
        <v>46.428571428571438</v>
      </c>
    </row>
    <row r="104" spans="5:138" x14ac:dyDescent="0.25">
      <c r="E104" s="32"/>
      <c r="F104" s="41">
        <v>0</v>
      </c>
      <c r="G104" s="50">
        <f t="shared" si="139"/>
        <v>300</v>
      </c>
      <c r="H104" s="50">
        <f t="shared" si="235"/>
        <v>293.90687850658395</v>
      </c>
      <c r="I104" s="50">
        <f t="shared" si="236"/>
        <v>287.80746406500293</v>
      </c>
      <c r="J104" s="50">
        <f t="shared" si="237"/>
        <v>281.69553307099011</v>
      </c>
      <c r="K104" s="50">
        <f t="shared" si="238"/>
        <v>275.56499983090168</v>
      </c>
      <c r="L104" s="50">
        <f t="shared" si="239"/>
        <v>269.40998358337902</v>
      </c>
      <c r="M104" s="50">
        <f t="shared" si="240"/>
        <v>263.22487322648993</v>
      </c>
      <c r="N104" s="50">
        <f t="shared" si="241"/>
        <v>257.00438902820213</v>
      </c>
      <c r="O104" s="50">
        <f t="shared" si="242"/>
        <v>250.74364063383376</v>
      </c>
      <c r="P104" s="50">
        <f t="shared" si="243"/>
        <v>244.43818072788923</v>
      </c>
      <c r="Q104" s="50">
        <f t="shared" si="244"/>
        <v>238.08405375879454</v>
      </c>
      <c r="R104" s="50">
        <f t="shared" si="245"/>
        <v>231.67783919279324</v>
      </c>
      <c r="S104" s="50">
        <f t="shared" si="246"/>
        <v>225.21668882683784</v>
      </c>
      <c r="T104" s="50">
        <f t="shared" si="247"/>
        <v>218.69835775887697</v>
      </c>
      <c r="U104" s="50">
        <f t="shared" si="248"/>
        <v>212.12122868657565</v>
      </c>
      <c r="V104" s="50">
        <f t="shared" si="249"/>
        <v>205.48432928128926</v>
      </c>
      <c r="W104" s="50">
        <f t="shared" si="250"/>
        <v>198.78734246209382</v>
      </c>
      <c r="X104" s="50">
        <f t="shared" si="251"/>
        <v>192.03060947390526</v>
      </c>
      <c r="Y104" s="50">
        <f t="shared" si="252"/>
        <v>185.21512575327839</v>
      </c>
      <c r="Z104" s="50">
        <f t="shared" si="253"/>
        <v>178.34252964445113</v>
      </c>
      <c r="AA104" s="50">
        <f t="shared" si="254"/>
        <v>171.41508410573806</v>
      </c>
      <c r="AB104" s="50">
        <f t="shared" si="255"/>
        <v>164.43565162166539</v>
      </c>
      <c r="AC104" s="50">
        <f t="shared" si="256"/>
        <v>157.40766260851436</v>
      </c>
      <c r="AD104" s="50">
        <f t="shared" si="257"/>
        <v>150.33507766951524</v>
      </c>
      <c r="AE104" s="50">
        <f t="shared" si="258"/>
        <v>143.22234412016985</v>
      </c>
      <c r="AF104" s="50">
        <f t="shared" si="259"/>
        <v>136.07434726351417</v>
      </c>
      <c r="AG104" s="50">
        <f t="shared" si="260"/>
        <v>128.8963569490636</v>
      </c>
      <c r="AH104" s="50">
        <f t="shared" si="261"/>
        <v>121.69396999727516</v>
      </c>
      <c r="AI104" s="50">
        <f t="shared" si="262"/>
        <v>114.47304911324295</v>
      </c>
      <c r="AJ104" s="50">
        <f t="shared" si="263"/>
        <v>107.23965894870223</v>
      </c>
      <c r="AK104" s="50">
        <f t="shared" si="141"/>
        <v>100</v>
      </c>
      <c r="AL104" s="21"/>
      <c r="AM104" s="41">
        <v>0</v>
      </c>
      <c r="AN104" s="37">
        <f t="shared" si="142"/>
        <v>-1076400000</v>
      </c>
      <c r="AO104" s="37">
        <f t="shared" si="143"/>
        <v>-1054537448.155254</v>
      </c>
      <c r="AP104" s="37">
        <f t="shared" si="144"/>
        <v>-1032652322.0745367</v>
      </c>
      <c r="AQ104" s="37">
        <f t="shared" si="145"/>
        <v>-1010722296.2688239</v>
      </c>
      <c r="AR104" s="37">
        <f t="shared" si="146"/>
        <v>-988725539.95538604</v>
      </c>
      <c r="AS104" s="37">
        <f t="shared" si="147"/>
        <v>-966640957.47522104</v>
      </c>
      <c r="AT104" s="37">
        <f t="shared" si="148"/>
        <v>-944448420.48035228</v>
      </c>
      <c r="AU104" s="37">
        <f t="shared" si="149"/>
        <v>-922128989.30070317</v>
      </c>
      <c r="AV104" s="37">
        <f t="shared" si="150"/>
        <v>-899665121.02860343</v>
      </c>
      <c r="AW104" s="37">
        <f t="shared" si="151"/>
        <v>-877040862.01591539</v>
      </c>
      <c r="AX104" s="37">
        <f t="shared" si="152"/>
        <v>-854242022.66203415</v>
      </c>
      <c r="AY104" s="37">
        <f t="shared" si="153"/>
        <v>-831256332.57810259</v>
      </c>
      <c r="AZ104" s="37">
        <f t="shared" si="154"/>
        <v>-808073574.44077182</v>
      </c>
      <c r="BA104" s="37">
        <f t="shared" si="155"/>
        <v>-784685695.09473395</v>
      </c>
      <c r="BB104" s="37">
        <f t="shared" si="156"/>
        <v>-761086892.72376919</v>
      </c>
      <c r="BC104" s="37">
        <f t="shared" si="157"/>
        <v>-737273679.18185079</v>
      </c>
      <c r="BD104" s="37">
        <f t="shared" si="158"/>
        <v>-713244916.85555315</v>
      </c>
      <c r="BE104" s="37">
        <f t="shared" si="159"/>
        <v>-689001829.71320879</v>
      </c>
      <c r="BF104" s="37">
        <f t="shared" si="160"/>
        <v>-664547988.48163021</v>
      </c>
      <c r="BG104" s="37">
        <f t="shared" si="161"/>
        <v>-639889270.17452788</v>
      </c>
      <c r="BH104" s="37">
        <f t="shared" si="162"/>
        <v>-615033792.47491419</v>
      </c>
      <c r="BI104" s="37">
        <f t="shared" si="163"/>
        <v>-589991823.74388731</v>
      </c>
      <c r="BJ104" s="37">
        <f t="shared" si="164"/>
        <v>-564775669.68750358</v>
      </c>
      <c r="BK104" s="37">
        <f t="shared" si="165"/>
        <v>-539399537.95948172</v>
      </c>
      <c r="BL104" s="37">
        <f t="shared" si="166"/>
        <v>-513879382.20798153</v>
      </c>
      <c r="BM104" s="37">
        <f t="shared" si="167"/>
        <v>-488232727.28759623</v>
      </c>
      <c r="BN104" s="37">
        <f t="shared" si="168"/>
        <v>-462478477.5512318</v>
      </c>
      <c r="BO104" s="37">
        <f t="shared" si="169"/>
        <v>-436636710.30912805</v>
      </c>
      <c r="BP104" s="37">
        <f t="shared" si="170"/>
        <v>-410728456.69257826</v>
      </c>
      <c r="BQ104" s="37">
        <f t="shared" si="171"/>
        <v>-384775472.28680092</v>
      </c>
      <c r="BR104" s="37">
        <f t="shared" si="172"/>
        <v>-358800000</v>
      </c>
      <c r="BT104" s="34"/>
      <c r="BU104" s="41">
        <v>0</v>
      </c>
      <c r="BV104" s="37">
        <v>1</v>
      </c>
      <c r="BW104" s="37">
        <v>1</v>
      </c>
      <c r="BX104" s="37">
        <v>1</v>
      </c>
      <c r="BY104" s="37">
        <v>1</v>
      </c>
      <c r="BZ104" s="37">
        <v>1</v>
      </c>
      <c r="CA104" s="37">
        <v>1</v>
      </c>
      <c r="CB104" s="37">
        <v>1</v>
      </c>
      <c r="CC104" s="37">
        <v>1</v>
      </c>
      <c r="CD104" s="37">
        <v>1</v>
      </c>
      <c r="CE104" s="37">
        <v>1</v>
      </c>
      <c r="CF104" s="37">
        <v>1</v>
      </c>
      <c r="CG104" s="37">
        <v>1</v>
      </c>
      <c r="CH104" s="37">
        <v>1</v>
      </c>
      <c r="CI104" s="37">
        <v>1</v>
      </c>
      <c r="CJ104" s="37">
        <v>1</v>
      </c>
      <c r="CK104" s="37">
        <v>1</v>
      </c>
      <c r="CL104" s="37">
        <v>1</v>
      </c>
      <c r="CM104" s="37">
        <v>1</v>
      </c>
      <c r="CN104" s="37">
        <v>1</v>
      </c>
      <c r="CO104" s="37">
        <v>1</v>
      </c>
      <c r="CP104" s="37">
        <v>1</v>
      </c>
      <c r="CQ104" s="37">
        <v>1</v>
      </c>
      <c r="CR104" s="37">
        <v>1</v>
      </c>
      <c r="CS104" s="37">
        <v>1</v>
      </c>
      <c r="CT104" s="37">
        <v>1</v>
      </c>
      <c r="CU104" s="37">
        <v>1</v>
      </c>
      <c r="CV104" s="37">
        <v>1</v>
      </c>
      <c r="CW104" s="37">
        <v>1</v>
      </c>
      <c r="CX104" s="37">
        <v>1</v>
      </c>
      <c r="CY104" s="37">
        <v>1</v>
      </c>
      <c r="CZ104" s="37">
        <v>1</v>
      </c>
      <c r="DB104" s="34"/>
      <c r="DC104" s="41">
        <v>0</v>
      </c>
      <c r="DD104" s="37">
        <v>0</v>
      </c>
      <c r="DE104" s="37">
        <v>0</v>
      </c>
      <c r="DF104" s="37">
        <v>0</v>
      </c>
      <c r="DG104" s="37">
        <v>0</v>
      </c>
      <c r="DH104" s="37">
        <v>0</v>
      </c>
      <c r="DI104" s="37">
        <v>0</v>
      </c>
      <c r="DJ104" s="37">
        <v>0</v>
      </c>
      <c r="DK104" s="37">
        <v>0</v>
      </c>
      <c r="DL104" s="37">
        <v>0</v>
      </c>
      <c r="DM104" s="37">
        <v>0</v>
      </c>
      <c r="DN104" s="37">
        <v>0</v>
      </c>
      <c r="DO104" s="37">
        <v>0</v>
      </c>
      <c r="DP104" s="37">
        <v>0</v>
      </c>
      <c r="DQ104" s="37">
        <v>0</v>
      </c>
      <c r="DR104" s="37">
        <v>0</v>
      </c>
      <c r="DS104" s="37">
        <v>0</v>
      </c>
      <c r="DT104" s="37">
        <v>0</v>
      </c>
      <c r="DU104" s="37">
        <v>0</v>
      </c>
      <c r="DV104" s="37">
        <v>0</v>
      </c>
      <c r="DW104" s="37">
        <v>0</v>
      </c>
      <c r="DX104" s="37">
        <v>0</v>
      </c>
      <c r="DY104" s="37">
        <v>0</v>
      </c>
      <c r="DZ104" s="37">
        <v>0</v>
      </c>
      <c r="EA104" s="37">
        <v>0</v>
      </c>
      <c r="EB104" s="37">
        <v>0</v>
      </c>
      <c r="EC104" s="37">
        <v>0</v>
      </c>
      <c r="ED104" s="37">
        <v>0</v>
      </c>
      <c r="EE104" s="37">
        <v>0</v>
      </c>
      <c r="EF104" s="37">
        <v>0</v>
      </c>
      <c r="EG104" s="37">
        <v>0</v>
      </c>
      <c r="EH104" s="37">
        <v>0</v>
      </c>
    </row>
    <row r="105" spans="5:138" x14ac:dyDescent="0.25">
      <c r="AM105" s="12"/>
    </row>
    <row r="106" spans="5:138" x14ac:dyDescent="0.25">
      <c r="AM106" s="12"/>
    </row>
    <row r="107" spans="5:138" x14ac:dyDescent="0.25">
      <c r="AM107" s="12"/>
    </row>
    <row r="108" spans="5:138" x14ac:dyDescent="0.25">
      <c r="AM108" s="12"/>
    </row>
    <row r="109" spans="5:138" x14ac:dyDescent="0.25">
      <c r="AM109" s="12"/>
    </row>
    <row r="110" spans="5:138" x14ac:dyDescent="0.25">
      <c r="AM110" s="12"/>
    </row>
    <row r="111" spans="5:138" x14ac:dyDescent="0.25">
      <c r="AM111" s="12"/>
    </row>
    <row r="112" spans="5:138" x14ac:dyDescent="0.25">
      <c r="AM112" s="12"/>
    </row>
    <row r="113" spans="39:39" x14ac:dyDescent="0.25">
      <c r="AM113" s="12"/>
    </row>
    <row r="114" spans="39:39" x14ac:dyDescent="0.25">
      <c r="AM114" s="12"/>
    </row>
    <row r="115" spans="39:39" x14ac:dyDescent="0.25">
      <c r="AM115" s="12"/>
    </row>
    <row r="116" spans="39:39" x14ac:dyDescent="0.25">
      <c r="AM116" s="12"/>
    </row>
    <row r="117" spans="39:39" x14ac:dyDescent="0.25">
      <c r="AM117" s="12"/>
    </row>
    <row r="118" spans="39:39" x14ac:dyDescent="0.25">
      <c r="AM118" s="12"/>
    </row>
    <row r="119" spans="39:39" x14ac:dyDescent="0.25">
      <c r="AM119" s="12"/>
    </row>
    <row r="120" spans="39:39" x14ac:dyDescent="0.25">
      <c r="AM120" s="12"/>
    </row>
    <row r="121" spans="39:39" x14ac:dyDescent="0.25">
      <c r="AM121" s="12"/>
    </row>
    <row r="122" spans="39:39" x14ac:dyDescent="0.25">
      <c r="AM122" s="12"/>
    </row>
    <row r="123" spans="39:39" x14ac:dyDescent="0.25">
      <c r="AM123" s="12"/>
    </row>
    <row r="124" spans="39:39" x14ac:dyDescent="0.25">
      <c r="AM124" s="12"/>
    </row>
    <row r="125" spans="39:39" x14ac:dyDescent="0.25">
      <c r="AM125" s="12"/>
    </row>
    <row r="126" spans="39:39" x14ac:dyDescent="0.25">
      <c r="AM126" s="12"/>
    </row>
    <row r="127" spans="39:39" x14ac:dyDescent="0.25">
      <c r="AM127" s="12"/>
    </row>
    <row r="128" spans="39:39" x14ac:dyDescent="0.25">
      <c r="AM128" s="12"/>
    </row>
    <row r="129" spans="39:39" x14ac:dyDescent="0.25">
      <c r="AM129" s="12"/>
    </row>
    <row r="130" spans="39:39" x14ac:dyDescent="0.25">
      <c r="AM130" s="12"/>
    </row>
    <row r="131" spans="39:39" x14ac:dyDescent="0.25">
      <c r="AM131" s="12"/>
    </row>
    <row r="132" spans="39:39" x14ac:dyDescent="0.25">
      <c r="AM132" s="12"/>
    </row>
    <row r="133" spans="39:39" x14ac:dyDescent="0.25">
      <c r="AM133" s="12"/>
    </row>
    <row r="134" spans="39:39" x14ac:dyDescent="0.25">
      <c r="AM134" s="12"/>
    </row>
    <row r="135" spans="39:39" x14ac:dyDescent="0.25">
      <c r="AM135" s="12"/>
    </row>
    <row r="136" spans="39:39" x14ac:dyDescent="0.25">
      <c r="AM136" s="12"/>
    </row>
    <row r="137" spans="39:39" x14ac:dyDescent="0.25">
      <c r="AM137" s="12"/>
    </row>
    <row r="138" spans="39:39" x14ac:dyDescent="0.25">
      <c r="AM138" s="12"/>
    </row>
    <row r="139" spans="39:39" x14ac:dyDescent="0.25">
      <c r="AM139" s="12"/>
    </row>
    <row r="140" spans="39:39" x14ac:dyDescent="0.25">
      <c r="AM140" s="12"/>
    </row>
    <row r="141" spans="39:39" x14ac:dyDescent="0.25">
      <c r="AM141" s="12"/>
    </row>
    <row r="142" spans="39:39" x14ac:dyDescent="0.25">
      <c r="AM142" s="12"/>
    </row>
    <row r="143" spans="39:39" x14ac:dyDescent="0.25">
      <c r="AM143" s="12"/>
    </row>
    <row r="144" spans="39:39" x14ac:dyDescent="0.25">
      <c r="AM144" s="12"/>
    </row>
    <row r="145" spans="39:39" x14ac:dyDescent="0.25">
      <c r="AM145" s="12"/>
    </row>
    <row r="146" spans="39:39" x14ac:dyDescent="0.25">
      <c r="AM146" s="12"/>
    </row>
    <row r="147" spans="39:39" x14ac:dyDescent="0.25">
      <c r="AM147" s="12"/>
    </row>
    <row r="148" spans="39:39" x14ac:dyDescent="0.25">
      <c r="AM148" s="12"/>
    </row>
    <row r="149" spans="39:39" x14ac:dyDescent="0.25">
      <c r="AM149" s="12"/>
    </row>
    <row r="150" spans="39:39" x14ac:dyDescent="0.25">
      <c r="AM150" s="12"/>
    </row>
    <row r="151" spans="39:39" x14ac:dyDescent="0.25">
      <c r="AM151" s="12"/>
    </row>
    <row r="152" spans="39:39" x14ac:dyDescent="0.25">
      <c r="AM152" s="12"/>
    </row>
    <row r="153" spans="39:39" x14ac:dyDescent="0.25">
      <c r="AM153" s="12"/>
    </row>
    <row r="154" spans="39:39" x14ac:dyDescent="0.25">
      <c r="AM154" s="12"/>
    </row>
    <row r="155" spans="39:39" x14ac:dyDescent="0.25">
      <c r="AM155" s="12"/>
    </row>
    <row r="156" spans="39:39" x14ac:dyDescent="0.25">
      <c r="AM156" s="12"/>
    </row>
    <row r="157" spans="39:39" x14ac:dyDescent="0.25">
      <c r="AM157" s="12"/>
    </row>
    <row r="158" spans="39:39" x14ac:dyDescent="0.25">
      <c r="AM158" s="12"/>
    </row>
    <row r="159" spans="39:39" x14ac:dyDescent="0.25">
      <c r="AM159" s="12"/>
    </row>
    <row r="160" spans="39:39" x14ac:dyDescent="0.25">
      <c r="AM160" s="12"/>
    </row>
    <row r="161" spans="39:39" x14ac:dyDescent="0.25">
      <c r="AM161" s="12"/>
    </row>
    <row r="162" spans="39:39" x14ac:dyDescent="0.25">
      <c r="AM162" s="12"/>
    </row>
  </sheetData>
  <mergeCells count="13">
    <mergeCell ref="AL38:AL69"/>
    <mergeCell ref="BT38:BT69"/>
    <mergeCell ref="DB38:DB69"/>
    <mergeCell ref="E73:E104"/>
    <mergeCell ref="AL73:AL104"/>
    <mergeCell ref="BT73:BT104"/>
    <mergeCell ref="DB73:DB104"/>
    <mergeCell ref="E38:E69"/>
    <mergeCell ref="A1:B2"/>
    <mergeCell ref="A24:B24"/>
    <mergeCell ref="A19:B19"/>
    <mergeCell ref="A15:B15"/>
    <mergeCell ref="A10:B10"/>
  </mergeCells>
  <conditionalFormatting sqref="G3:AK3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yacny_2D_0000000">
                <anchor moveWithCells="1">
                  <from>
                    <xdr:col>0</xdr:col>
                    <xdr:colOff>76200</xdr:colOff>
                    <xdr:row>31</xdr:row>
                    <xdr:rowOff>95250</xdr:rowOff>
                  </from>
                  <to>
                    <xdr:col>2</xdr:col>
                    <xdr:colOff>95250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Neyawny_2D">
                <anchor moveWithCells="1">
                  <from>
                    <xdr:col>0</xdr:col>
                    <xdr:colOff>57150</xdr:colOff>
                    <xdr:row>29</xdr:row>
                    <xdr:rowOff>123825</xdr:rowOff>
                  </from>
                  <to>
                    <xdr:col>2</xdr:col>
                    <xdr:colOff>76200</xdr:colOff>
                    <xdr:row>30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B3:AJ38"/>
  <sheetViews>
    <sheetView topLeftCell="A13" zoomScale="80" zoomScaleNormal="80" workbookViewId="0">
      <selection activeCell="BA36" sqref="BA36"/>
    </sheetView>
  </sheetViews>
  <sheetFormatPr defaultRowHeight="15" x14ac:dyDescent="0.25"/>
  <cols>
    <col min="3" max="3" width="14.28515625" customWidth="1"/>
    <col min="6" max="12" width="14.28515625" bestFit="1" customWidth="1"/>
    <col min="13" max="13" width="9.7109375" customWidth="1"/>
    <col min="14" max="35" width="14.28515625" bestFit="1" customWidth="1"/>
    <col min="36" max="36" width="11.7109375" customWidth="1"/>
  </cols>
  <sheetData>
    <row r="3" spans="2:36" x14ac:dyDescent="0.25">
      <c r="B3" s="2" t="s">
        <v>0</v>
      </c>
      <c r="C3" s="3">
        <v>0.1</v>
      </c>
    </row>
    <row r="4" spans="2:36" x14ac:dyDescent="0.25">
      <c r="B4" s="2" t="s">
        <v>1</v>
      </c>
      <c r="C4" s="3">
        <f>C3/30</f>
        <v>3.3333333333333335E-3</v>
      </c>
    </row>
    <row r="5" spans="2:36" x14ac:dyDescent="0.25">
      <c r="B5" s="2" t="s">
        <v>2</v>
      </c>
      <c r="C5" s="3">
        <v>10</v>
      </c>
    </row>
    <row r="6" spans="2:36" x14ac:dyDescent="0.25">
      <c r="B6" s="2" t="s">
        <v>3</v>
      </c>
      <c r="C6" s="3">
        <v>1000</v>
      </c>
      <c r="D6">
        <v>1010</v>
      </c>
    </row>
    <row r="7" spans="2:36" x14ac:dyDescent="0.25">
      <c r="C7" s="1"/>
      <c r="M7" t="s">
        <v>16</v>
      </c>
    </row>
    <row r="8" spans="2:36" x14ac:dyDescent="0.25">
      <c r="B8" s="2" t="s">
        <v>4</v>
      </c>
      <c r="C8" s="4">
        <v>460</v>
      </c>
    </row>
    <row r="9" spans="2:36" x14ac:dyDescent="0.25">
      <c r="B9" s="2" t="s">
        <v>5</v>
      </c>
      <c r="C9" s="4">
        <v>7800</v>
      </c>
    </row>
    <row r="10" spans="2:36" x14ac:dyDescent="0.25">
      <c r="B10" s="2" t="s">
        <v>6</v>
      </c>
      <c r="C10" s="4">
        <v>46</v>
      </c>
    </row>
    <row r="11" spans="2:36" x14ac:dyDescent="0.25">
      <c r="C11" s="1"/>
      <c r="E11" s="2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3">
        <v>300</v>
      </c>
      <c r="E12" s="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25">
      <c r="B13" s="2" t="s">
        <v>9</v>
      </c>
      <c r="C13" s="3">
        <v>100</v>
      </c>
      <c r="E13" s="2" t="s">
        <v>7</v>
      </c>
      <c r="F13" s="2">
        <v>300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100</v>
      </c>
    </row>
    <row r="14" spans="2:36" x14ac:dyDescent="0.25">
      <c r="B14" s="6" t="s">
        <v>17</v>
      </c>
      <c r="C14" s="2">
        <f>$C$10/($C$4^2)</f>
        <v>4139999.9999999991</v>
      </c>
    </row>
    <row r="15" spans="2:36" x14ac:dyDescent="0.25">
      <c r="B15" s="6" t="s">
        <v>18</v>
      </c>
      <c r="C15" s="2">
        <f>(2*$C$10)/($C$4^2)+($C$9*$C$8)/$C$5</f>
        <v>8638799.9999999981</v>
      </c>
      <c r="E15" s="2" t="s">
        <v>10</v>
      </c>
      <c r="F15" s="2"/>
      <c r="G15" s="2">
        <f>G17*H15+G18</f>
        <v>223.73970929894193</v>
      </c>
      <c r="H15" s="2">
        <f t="shared" ref="H15:AH15" si="1">H17*I15+H18</f>
        <v>166.87019340379214</v>
      </c>
      <c r="I15" s="2">
        <f t="shared" si="1"/>
        <v>124.46276093697104</v>
      </c>
      <c r="J15" s="2">
        <f t="shared" si="1"/>
        <v>92.842101084687428</v>
      </c>
      <c r="K15" s="2">
        <f t="shared" si="1"/>
        <v>69.267756659743384</v>
      </c>
      <c r="L15" s="2">
        <f t="shared" si="1"/>
        <v>51.696617811977106</v>
      </c>
      <c r="M15" s="2">
        <f t="shared" si="1"/>
        <v>38.605852507915522</v>
      </c>
      <c r="N15" s="2">
        <f t="shared" si="1"/>
        <v>28.860927754539947</v>
      </c>
      <c r="O15" s="2">
        <f t="shared" si="1"/>
        <v>21.617283406557839</v>
      </c>
      <c r="P15" s="2">
        <f t="shared" si="1"/>
        <v>16.247136953810745</v>
      </c>
      <c r="Q15" s="2">
        <f t="shared" si="1"/>
        <v>12.285075703727244</v>
      </c>
      <c r="R15" s="2">
        <f t="shared" si="1"/>
        <v>9.3877210146334402</v>
      </c>
      <c r="S15" s="2">
        <f t="shared" si="1"/>
        <v>7.3039688134745333</v>
      </c>
      <c r="T15" s="2">
        <f t="shared" si="1"/>
        <v>5.8532272428167511</v>
      </c>
      <c r="U15" s="2">
        <f t="shared" si="1"/>
        <v>4.9097653665364209</v>
      </c>
      <c r="V15" s="2">
        <f t="shared" si="1"/>
        <v>4.3918164886892477</v>
      </c>
      <c r="W15" s="2">
        <f t="shared" si="1"/>
        <v>4.2544917065284755</v>
      </c>
      <c r="X15" s="2">
        <f t="shared" si="1"/>
        <v>4.4858895389335052</v>
      </c>
      <c r="Y15" s="2">
        <f t="shared" si="1"/>
        <v>5.1060644647127722</v>
      </c>
      <c r="Z15" s="2">
        <f t="shared" si="1"/>
        <v>6.1687649774338125</v>
      </c>
      <c r="AA15" s="2">
        <f t="shared" si="1"/>
        <v>7.7660917881991161</v>
      </c>
      <c r="AB15" s="2">
        <f t="shared" si="1"/>
        <v>10.036479887275011</v>
      </c>
      <c r="AC15" s="2">
        <f t="shared" si="1"/>
        <v>13.176696243248072</v>
      </c>
      <c r="AD15" s="2">
        <f t="shared" si="1"/>
        <v>17.458892940302633</v>
      </c>
      <c r="AE15" s="2">
        <f t="shared" si="1"/>
        <v>23.254193692183424</v>
      </c>
      <c r="AF15" s="2">
        <f t="shared" si="1"/>
        <v>31.064857897386773</v>
      </c>
      <c r="AG15" s="2">
        <f t="shared" si="1"/>
        <v>41.567809787030313</v>
      </c>
      <c r="AH15" s="2">
        <f t="shared" si="1"/>
        <v>55.673305191549815</v>
      </c>
      <c r="AI15" s="2">
        <f>AI17*AJ15+AI18</f>
        <v>74.603820379336966</v>
      </c>
      <c r="AJ15" s="2">
        <v>100</v>
      </c>
    </row>
    <row r="16" spans="2:36" x14ac:dyDescent="0.25">
      <c r="B16" s="6" t="s">
        <v>19</v>
      </c>
      <c r="C16" s="2">
        <f>$C$10/($C$4^2)</f>
        <v>4139999.9999999991</v>
      </c>
      <c r="E16" s="2" t="s">
        <v>20</v>
      </c>
      <c r="F16" s="2">
        <f>-($C$9*$C$8)/$C$5*F13</f>
        <v>-107640000</v>
      </c>
      <c r="G16" s="2">
        <f>-($C$9*$C$8)/$C$5*G13</f>
        <v>0</v>
      </c>
      <c r="H16" s="2">
        <f t="shared" ref="H16:AH16" si="2">-($C$9*$C$8)/$C$5*H13</f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O16" s="2">
        <f t="shared" si="2"/>
        <v>0</v>
      </c>
      <c r="P16" s="2">
        <f t="shared" si="2"/>
        <v>0</v>
      </c>
      <c r="Q16" s="2">
        <f t="shared" si="2"/>
        <v>0</v>
      </c>
      <c r="R16" s="2">
        <f t="shared" si="2"/>
        <v>0</v>
      </c>
      <c r="S16" s="2">
        <f t="shared" si="2"/>
        <v>0</v>
      </c>
      <c r="T16" s="2">
        <f t="shared" si="2"/>
        <v>0</v>
      </c>
      <c r="U16" s="2">
        <f t="shared" si="2"/>
        <v>0</v>
      </c>
      <c r="V16" s="2">
        <f t="shared" si="2"/>
        <v>0</v>
      </c>
      <c r="W16" s="2">
        <f t="shared" si="2"/>
        <v>0</v>
      </c>
      <c r="X16" s="2">
        <f t="shared" si="2"/>
        <v>0</v>
      </c>
      <c r="Y16" s="2">
        <f t="shared" si="2"/>
        <v>0</v>
      </c>
      <c r="Z16" s="2">
        <f t="shared" si="2"/>
        <v>0</v>
      </c>
      <c r="AA16" s="2">
        <f t="shared" si="2"/>
        <v>0</v>
      </c>
      <c r="AB16" s="2">
        <f t="shared" si="2"/>
        <v>0</v>
      </c>
      <c r="AC16" s="2">
        <f t="shared" si="2"/>
        <v>0</v>
      </c>
      <c r="AD16" s="2">
        <f t="shared" si="2"/>
        <v>0</v>
      </c>
      <c r="AE16" s="2">
        <f t="shared" si="2"/>
        <v>0</v>
      </c>
      <c r="AF16" s="2">
        <f t="shared" si="2"/>
        <v>0</v>
      </c>
      <c r="AG16" s="2">
        <f t="shared" si="2"/>
        <v>0</v>
      </c>
      <c r="AH16" s="2">
        <f t="shared" si="2"/>
        <v>0</v>
      </c>
      <c r="AI16" s="2">
        <f>-($C$9*$C$8)/$C$5*AI13</f>
        <v>0</v>
      </c>
      <c r="AJ16" s="2">
        <f t="shared" ref="AJ16" si="3">-($C$9*$C$8)/$C$5*AJ13</f>
        <v>-35880000</v>
      </c>
    </row>
    <row r="17" spans="2:36" x14ac:dyDescent="0.25">
      <c r="B17" s="7"/>
      <c r="E17" s="2" t="s">
        <v>21</v>
      </c>
      <c r="F17" s="2">
        <v>0</v>
      </c>
      <c r="G17" s="2">
        <f>$C$14/($C$15-$C$16*F17)</f>
        <v>0.47923322683706071</v>
      </c>
      <c r="H17" s="2">
        <f t="shared" ref="H17:AJ17" si="4">$C$14/($C$15-$C$16*G17)</f>
        <v>0.62210974042322009</v>
      </c>
      <c r="I17" s="2">
        <f t="shared" si="4"/>
        <v>0.68280036240378583</v>
      </c>
      <c r="J17" s="2">
        <f t="shared" si="4"/>
        <v>0.71231854270130357</v>
      </c>
      <c r="K17" s="2">
        <f t="shared" si="4"/>
        <v>0.72761768474986643</v>
      </c>
      <c r="L17" s="2">
        <f t="shared" si="4"/>
        <v>0.73580865245165905</v>
      </c>
      <c r="M17" s="2">
        <f t="shared" si="4"/>
        <v>0.74027025007591674</v>
      </c>
      <c r="N17" s="2">
        <f t="shared" si="4"/>
        <v>0.74272330769575978</v>
      </c>
      <c r="O17" s="2">
        <f t="shared" si="4"/>
        <v>0.7440789772313966</v>
      </c>
      <c r="P17" s="2">
        <f t="shared" si="4"/>
        <v>0.74483030633226499</v>
      </c>
      <c r="Q17" s="2">
        <f t="shared" si="4"/>
        <v>0.74524735620578053</v>
      </c>
      <c r="R17" s="2">
        <f t="shared" si="4"/>
        <v>0.74547905505879375</v>
      </c>
      <c r="S17" s="2">
        <f t="shared" si="4"/>
        <v>0.74560784139748904</v>
      </c>
      <c r="T17" s="2">
        <f t="shared" si="4"/>
        <v>0.74567944459802482</v>
      </c>
      <c r="U17" s="2">
        <f t="shared" si="4"/>
        <v>0.74571926081247353</v>
      </c>
      <c r="V17" s="2">
        <f t="shared" si="4"/>
        <v>0.7457414031559223</v>
      </c>
      <c r="W17" s="2">
        <f t="shared" si="4"/>
        <v>0.74575371738604534</v>
      </c>
      <c r="X17" s="2">
        <f t="shared" si="4"/>
        <v>0.74576056599086782</v>
      </c>
      <c r="Y17" s="2">
        <f t="shared" si="4"/>
        <v>0.74576437492231062</v>
      </c>
      <c r="Z17" s="2">
        <f t="shared" si="4"/>
        <v>0.74576649332079048</v>
      </c>
      <c r="AA17" s="2">
        <f t="shared" si="4"/>
        <v>0.74576767150738277</v>
      </c>
      <c r="AB17" s="2">
        <f t="shared" si="4"/>
        <v>0.74576832677931204</v>
      </c>
      <c r="AC17" s="2">
        <f t="shared" si="4"/>
        <v>0.74576869122233935</v>
      </c>
      <c r="AD17" s="2">
        <f t="shared" si="4"/>
        <v>0.74576889391501577</v>
      </c>
      <c r="AE17" s="2">
        <f t="shared" si="4"/>
        <v>0.74576900664687074</v>
      </c>
      <c r="AF17" s="2">
        <f t="shared" si="4"/>
        <v>0.74576906934511078</v>
      </c>
      <c r="AG17" s="2">
        <f t="shared" si="4"/>
        <v>0.74576910421608689</v>
      </c>
      <c r="AH17" s="2">
        <f t="shared" si="4"/>
        <v>0.74576912361033254</v>
      </c>
      <c r="AI17" s="2">
        <f t="shared" si="4"/>
        <v>0.74576913439686099</v>
      </c>
      <c r="AJ17" s="2">
        <f t="shared" si="4"/>
        <v>0.74576914039602182</v>
      </c>
    </row>
    <row r="18" spans="2:36" x14ac:dyDescent="0.25">
      <c r="E18" s="2" t="s">
        <v>22</v>
      </c>
      <c r="F18" s="2">
        <f>F13</f>
        <v>300</v>
      </c>
      <c r="G18" s="2">
        <f>(F18*$C$16-G16)/($C$15-$C$16*F17)</f>
        <v>143.76996805111821</v>
      </c>
      <c r="H18" s="2">
        <f>(G18*$C$16-H16)/($C$15-$C$16*G17)</f>
        <v>89.440697504935798</v>
      </c>
      <c r="I18" s="2">
        <f t="shared" ref="I18:AJ18" si="5">(H18*$C$16-I16)/($C$15-$C$16*H17)</f>
        <v>61.070140670017544</v>
      </c>
      <c r="J18" s="2">
        <f t="shared" si="5"/>
        <v>43.501393604630508</v>
      </c>
      <c r="K18" s="2">
        <f t="shared" si="5"/>
        <v>31.652383297993897</v>
      </c>
      <c r="L18" s="2">
        <f t="shared" si="5"/>
        <v>23.290097501380288</v>
      </c>
      <c r="M18" s="2">
        <f t="shared" si="5"/>
        <v>17.240966301639268</v>
      </c>
      <c r="N18" s="2">
        <f t="shared" si="5"/>
        <v>12.805267519424646</v>
      </c>
      <c r="O18" s="2">
        <f t="shared" si="5"/>
        <v>9.5281303590279123</v>
      </c>
      <c r="P18" s="2">
        <f>(O18*$C$16-P16)/($C$15-$C$16*O17)</f>
        <v>7.0968402540885149</v>
      </c>
      <c r="Q18" s="2">
        <f t="shared" si="5"/>
        <v>5.2889014367742258</v>
      </c>
      <c r="R18" s="2">
        <f t="shared" si="5"/>
        <v>3.9427652453855466</v>
      </c>
      <c r="S18" s="2">
        <f t="shared" si="5"/>
        <v>2.9397566837489588</v>
      </c>
      <c r="T18" s="2">
        <f t="shared" si="5"/>
        <v>2.1921161311912551</v>
      </c>
      <c r="U18" s="2">
        <f t="shared" si="5"/>
        <v>1.6347032209670422</v>
      </c>
      <c r="V18" s="2">
        <f t="shared" si="5"/>
        <v>1.2190658737474678</v>
      </c>
      <c r="W18" s="2">
        <f t="shared" si="5"/>
        <v>0.90912290708564147</v>
      </c>
      <c r="X18" s="2">
        <f t="shared" si="5"/>
        <v>0.67798801374345108</v>
      </c>
      <c r="Y18" s="2">
        <f t="shared" si="5"/>
        <v>0.50561930727420379</v>
      </c>
      <c r="Z18" s="2">
        <f t="shared" si="5"/>
        <v>0.37707393774117021</v>
      </c>
      <c r="AA18" s="2">
        <f t="shared" si="5"/>
        <v>0.28120955253535229</v>
      </c>
      <c r="AB18" s="2">
        <f t="shared" si="5"/>
        <v>0.20971717746864871</v>
      </c>
      <c r="AC18" s="2">
        <f t="shared" si="5"/>
        <v>0.15640050496763722</v>
      </c>
      <c r="AD18" s="2">
        <f t="shared" si="5"/>
        <v>0.11663863159746472</v>
      </c>
      <c r="AE18" s="2">
        <f t="shared" si="5"/>
        <v>8.6985476423091568E-2</v>
      </c>
      <c r="AF18" s="2">
        <f t="shared" si="5"/>
        <v>6.4871077798590082E-2</v>
      </c>
      <c r="AG18" s="2">
        <f t="shared" si="5"/>
        <v>4.8378845579386605E-2</v>
      </c>
      <c r="AH18" s="2">
        <f t="shared" si="5"/>
        <v>3.6079449269018758E-2</v>
      </c>
      <c r="AI18" s="2">
        <f t="shared" si="5"/>
        <v>2.6906939650871577E-2</v>
      </c>
      <c r="AJ18" s="2">
        <f t="shared" si="5"/>
        <v>6.4833989153529767</v>
      </c>
    </row>
    <row r="20" spans="2:36" x14ac:dyDescent="0.25">
      <c r="C20" t="s">
        <v>23</v>
      </c>
      <c r="E20" s="2"/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x14ac:dyDescent="0.25">
      <c r="B21" s="2" t="s">
        <v>11</v>
      </c>
      <c r="C21" s="3">
        <v>92000</v>
      </c>
      <c r="E21" s="2" t="s">
        <v>0</v>
      </c>
      <c r="F21" s="5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x14ac:dyDescent="0.25">
      <c r="B22" s="2" t="s">
        <v>9</v>
      </c>
      <c r="C22" s="3">
        <v>100</v>
      </c>
      <c r="E22" s="2" t="s">
        <v>7</v>
      </c>
      <c r="F22" s="2">
        <f>F25/C10*C4+G22</f>
        <v>247.64422507446139</v>
      </c>
      <c r="G22" s="2">
        <v>240.97755840779473</v>
      </c>
      <c r="H22" s="2">
        <v>235.31029114824543</v>
      </c>
      <c r="I22" s="2">
        <v>229.7212091003725</v>
      </c>
      <c r="J22" s="2">
        <v>224.20867174518264</v>
      </c>
      <c r="K22" s="2">
        <v>218.77092203170392</v>
      </c>
      <c r="L22" s="2">
        <v>213.40608905190356</v>
      </c>
      <c r="M22" s="2">
        <v>208.11219088894143</v>
      </c>
      <c r="N22" s="2">
        <v>202.88713763442394</v>
      </c>
      <c r="O22" s="2">
        <v>197.72873457006492</v>
      </c>
      <c r="P22" s="2">
        <v>192.63468550891042</v>
      </c>
      <c r="Q22" s="2">
        <v>187.6025962910411</v>
      </c>
      <c r="R22" s="2">
        <v>182.62997842843041</v>
      </c>
      <c r="S22" s="2">
        <v>177.71425289341039</v>
      </c>
      <c r="T22" s="2">
        <v>172.85275404497793</v>
      </c>
      <c r="U22" s="2">
        <v>168.0427336869638</v>
      </c>
      <c r="V22" s="2">
        <v>163.28136525188734</v>
      </c>
      <c r="W22" s="2">
        <v>158.56574810412664</v>
      </c>
      <c r="X22" s="2">
        <v>153.89291195585406</v>
      </c>
      <c r="Y22" s="2">
        <v>149.25982138901384</v>
      </c>
      <c r="Z22" s="2">
        <v>144.66338047645772</v>
      </c>
      <c r="AA22" s="2">
        <v>140.10043749520338</v>
      </c>
      <c r="AB22" s="2">
        <v>135.56778972464014</v>
      </c>
      <c r="AC22" s="2">
        <v>131.06218832237701</v>
      </c>
      <c r="AD22" s="2">
        <v>126.58034327030994</v>
      </c>
      <c r="AE22" s="2">
        <v>122.11892838337812</v>
      </c>
      <c r="AF22" s="2">
        <v>117.67458637338373</v>
      </c>
      <c r="AG22" s="2">
        <v>113.24393396016569</v>
      </c>
      <c r="AH22" s="2">
        <v>108.82356702234567</v>
      </c>
      <c r="AI22" s="2">
        <v>104.41006577980471</v>
      </c>
      <c r="AJ22" s="2">
        <v>100</v>
      </c>
    </row>
    <row r="24" spans="2:36" x14ac:dyDescent="0.25">
      <c r="E24" s="2" t="s">
        <v>12</v>
      </c>
      <c r="F24" s="2"/>
      <c r="G24" s="2">
        <f>G27*H24+G28</f>
        <v>241.88137449892713</v>
      </c>
      <c r="H24" s="2">
        <f t="shared" ref="H24:AI24" si="35">H27*I24+H28</f>
        <v>236.19685465129095</v>
      </c>
      <c r="I24" s="2">
        <f t="shared" si="35"/>
        <v>230.58917030725206</v>
      </c>
      <c r="J24" s="2">
        <f t="shared" si="35"/>
        <v>225.05670926780942</v>
      </c>
      <c r="K24" s="2">
        <f t="shared" si="35"/>
        <v>219.59774481366105</v>
      </c>
      <c r="L24" s="2">
        <f t="shared" si="35"/>
        <v>214.21043833394899</v>
      </c>
      <c r="M24" s="2">
        <f t="shared" si="35"/>
        <v>208.89284212534753</v>
      </c>
      <c r="N24" s="2">
        <f t="shared" si="35"/>
        <v>203.64290235723462</v>
      </c>
      <c r="O24" s="2">
        <f t="shared" si="35"/>
        <v>198.45846219843196</v>
      </c>
      <c r="P24" s="2">
        <f t="shared" si="35"/>
        <v>193.33726510075445</v>
      </c>
      <c r="Q24" s="2">
        <f t="shared" si="35"/>
        <v>188.27695823437006</v>
      </c>
      <c r="R24" s="2">
        <f t="shared" si="35"/>
        <v>183.27509606974087</v>
      </c>
      <c r="S24" s="2">
        <f t="shared" si="35"/>
        <v>178.32914410069191</v>
      </c>
      <c r="T24" s="2">
        <f t="shared" si="35"/>
        <v>173.43648270294062</v>
      </c>
      <c r="U24" s="2">
        <f t="shared" si="35"/>
        <v>168.59441112221276</v>
      </c>
      <c r="V24" s="2">
        <f t="shared" si="35"/>
        <v>163.80015158587318</v>
      </c>
      <c r="W24" s="2">
        <f t="shared" si="35"/>
        <v>159.05085353181235</v>
      </c>
      <c r="X24" s="2">
        <f t="shared" si="35"/>
        <v>154.34359794815094</v>
      </c>
      <c r="Y24" s="2">
        <f t="shared" si="35"/>
        <v>149.67540181715526</v>
      </c>
      <c r="Z24" s="2">
        <f t="shared" si="35"/>
        <v>145.04322265659852</v>
      </c>
      <c r="AA24" s="2">
        <f t="shared" si="35"/>
        <v>140.44396315165395</v>
      </c>
      <c r="AB24" s="2">
        <f t="shared" si="35"/>
        <v>135.87447587026844</v>
      </c>
      <c r="AC24" s="2">
        <f t="shared" si="35"/>
        <v>131.33156805483736</v>
      </c>
      <c r="AD24" s="2">
        <f t="shared" si="35"/>
        <v>126.81200648288618</v>
      </c>
      <c r="AE24" s="2">
        <f t="shared" si="35"/>
        <v>122.31252238935826</v>
      </c>
      <c r="AF24" s="2">
        <f t="shared" si="35"/>
        <v>117.82981644301529</v>
      </c>
      <c r="AG24" s="2">
        <f t="shared" si="35"/>
        <v>113.3605637693737</v>
      </c>
      <c r="AH24" s="2">
        <f t="shared" si="35"/>
        <v>108.90141901253017</v>
      </c>
      <c r="AI24" s="2">
        <f t="shared" si="35"/>
        <v>104.44902142816927</v>
      </c>
      <c r="AJ24" s="2">
        <v>100</v>
      </c>
    </row>
    <row r="25" spans="2:36" x14ac:dyDescent="0.25">
      <c r="E25" s="2" t="s">
        <v>13</v>
      </c>
      <c r="F25" s="2">
        <v>92000</v>
      </c>
      <c r="G25" s="4">
        <f>-$C$10*(G22-F22)/$C$4</f>
        <v>91999.999999999869</v>
      </c>
      <c r="H25" s="4">
        <f t="shared" ref="H25:AI25" si="36">-$C$10*(H22-G22)/$C$4</f>
        <v>78208.288181780415</v>
      </c>
      <c r="I25" s="4">
        <f t="shared" si="36"/>
        <v>77129.332260646304</v>
      </c>
      <c r="J25" s="4">
        <f t="shared" si="36"/>
        <v>76073.015501620102</v>
      </c>
      <c r="K25" s="4">
        <f t="shared" si="36"/>
        <v>75040.946046006371</v>
      </c>
      <c r="L25" s="4">
        <f t="shared" si="36"/>
        <v>74034.695121244891</v>
      </c>
      <c r="M25" s="4">
        <f t="shared" si="36"/>
        <v>73055.794648877476</v>
      </c>
      <c r="N25" s="4">
        <f t="shared" si="36"/>
        <v>72105.734912341359</v>
      </c>
      <c r="O25" s="4">
        <f t="shared" si="36"/>
        <v>71185.962288154493</v>
      </c>
      <c r="P25" s="4">
        <f t="shared" si="36"/>
        <v>70297.877043932007</v>
      </c>
      <c r="Q25" s="4">
        <f t="shared" si="36"/>
        <v>69442.831206596704</v>
      </c>
      <c r="R25" s="4">
        <f t="shared" si="36"/>
        <v>68622.126504027518</v>
      </c>
      <c r="S25" s="4">
        <f t="shared" si="36"/>
        <v>67837.012383276218</v>
      </c>
      <c r="T25" s="4">
        <f t="shared" si="36"/>
        <v>67088.684108367961</v>
      </c>
      <c r="U25" s="4">
        <f t="shared" si="36"/>
        <v>66378.280940594967</v>
      </c>
      <c r="V25" s="4">
        <f t="shared" si="36"/>
        <v>65706.884404055178</v>
      </c>
      <c r="W25" s="4">
        <f t="shared" si="36"/>
        <v>65075.516639097601</v>
      </c>
      <c r="X25" s="4">
        <f t="shared" si="36"/>
        <v>64485.138846161601</v>
      </c>
      <c r="Y25" s="4">
        <f t="shared" si="36"/>
        <v>63936.649822395084</v>
      </c>
      <c r="Z25" s="4">
        <f t="shared" si="36"/>
        <v>63430.884593274437</v>
      </c>
      <c r="AA25" s="4">
        <f t="shared" si="36"/>
        <v>62968.613141309856</v>
      </c>
      <c r="AB25" s="4">
        <f t="shared" si="36"/>
        <v>62550.539233772768</v>
      </c>
      <c r="AC25" s="4">
        <f t="shared" si="36"/>
        <v>62177.299351231115</v>
      </c>
      <c r="AD25" s="4">
        <f t="shared" si="36"/>
        <v>61849.461718525592</v>
      </c>
      <c r="AE25" s="4">
        <f t="shared" si="36"/>
        <v>61567.525439659112</v>
      </c>
      <c r="AF25" s="4">
        <f t="shared" si="36"/>
        <v>61331.91973792253</v>
      </c>
      <c r="AG25" s="4">
        <f t="shared" si="36"/>
        <v>61143.003302408964</v>
      </c>
      <c r="AH25" s="4">
        <f t="shared" si="36"/>
        <v>61001.063741916274</v>
      </c>
      <c r="AI25" s="4">
        <f t="shared" si="36"/>
        <v>60906.317147065245</v>
      </c>
      <c r="AJ25" s="4">
        <f>-$C$10*(AJ22-AI22)/$C$4</f>
        <v>60858.90776130501</v>
      </c>
    </row>
    <row r="26" spans="2:36" x14ac:dyDescent="0.25">
      <c r="E26" s="2" t="s">
        <v>20</v>
      </c>
      <c r="F26" s="2">
        <f>-($C$9*$C$8)/$C$5*F22</f>
        <v>-88854747.956716746</v>
      </c>
      <c r="G26" s="2">
        <f t="shared" ref="G26:AJ26" si="37">-($C$9*$C$8)/$C$5*G22</f>
        <v>-86462747.956716746</v>
      </c>
      <c r="H26" s="2">
        <f t="shared" si="37"/>
        <v>-84429332.463990465</v>
      </c>
      <c r="I26" s="2">
        <f t="shared" si="37"/>
        <v>-82423969.825213656</v>
      </c>
      <c r="J26" s="2">
        <f t="shared" si="37"/>
        <v>-80446071.422171533</v>
      </c>
      <c r="K26" s="2">
        <f t="shared" si="37"/>
        <v>-78495006.824975371</v>
      </c>
      <c r="L26" s="2">
        <f t="shared" si="37"/>
        <v>-76570104.751822993</v>
      </c>
      <c r="M26" s="2">
        <f t="shared" si="37"/>
        <v>-74670654.090952188</v>
      </c>
      <c r="N26" s="2">
        <f t="shared" si="37"/>
        <v>-72795904.983231306</v>
      </c>
      <c r="O26" s="2">
        <f t="shared" si="37"/>
        <v>-70945069.963739291</v>
      </c>
      <c r="P26" s="2">
        <f t="shared" si="37"/>
        <v>-69117325.160597056</v>
      </c>
      <c r="Q26" s="2">
        <f t="shared" si="37"/>
        <v>-67311811.549225539</v>
      </c>
      <c r="R26" s="2">
        <f t="shared" si="37"/>
        <v>-65527636.260120831</v>
      </c>
      <c r="S26" s="2">
        <f t="shared" si="37"/>
        <v>-63763873.938155651</v>
      </c>
      <c r="T26" s="2">
        <f t="shared" si="37"/>
        <v>-62019568.151338078</v>
      </c>
      <c r="U26" s="2">
        <f t="shared" si="37"/>
        <v>-60293732.846882612</v>
      </c>
      <c r="V26" s="2">
        <f t="shared" si="37"/>
        <v>-58585353.852377176</v>
      </c>
      <c r="W26" s="2">
        <f t="shared" si="37"/>
        <v>-56893390.419760637</v>
      </c>
      <c r="X26" s="2">
        <f t="shared" si="37"/>
        <v>-55216776.809760436</v>
      </c>
      <c r="Y26" s="2">
        <f t="shared" si="37"/>
        <v>-53554423.914378166</v>
      </c>
      <c r="Z26" s="2">
        <f t="shared" si="37"/>
        <v>-51905220.914953031</v>
      </c>
      <c r="AA26" s="2">
        <f t="shared" si="37"/>
        <v>-50268036.97327897</v>
      </c>
      <c r="AB26" s="2">
        <f t="shared" si="37"/>
        <v>-48641722.953200884</v>
      </c>
      <c r="AC26" s="2">
        <f t="shared" si="37"/>
        <v>-47025113.170068875</v>
      </c>
      <c r="AD26" s="2">
        <f t="shared" si="37"/>
        <v>-45417027.165387206</v>
      </c>
      <c r="AE26" s="2">
        <f t="shared" si="37"/>
        <v>-43816271.503956072</v>
      </c>
      <c r="AF26" s="2">
        <f t="shared" si="37"/>
        <v>-42221641.590770081</v>
      </c>
      <c r="AG26" s="2">
        <f t="shared" si="37"/>
        <v>-40631923.504907452</v>
      </c>
      <c r="AH26" s="2">
        <f t="shared" si="37"/>
        <v>-39045895.847617626</v>
      </c>
      <c r="AI26" s="2">
        <f t="shared" si="37"/>
        <v>-37462331.60179393</v>
      </c>
      <c r="AJ26" s="2">
        <f t="shared" si="37"/>
        <v>-35880000</v>
      </c>
    </row>
    <row r="27" spans="2:36" x14ac:dyDescent="0.25">
      <c r="E27" s="2" t="s">
        <v>21</v>
      </c>
      <c r="F27" s="2">
        <v>0</v>
      </c>
      <c r="G27" s="2">
        <f>$C$14/($C$15-$C$16*F27)</f>
        <v>0.47923322683706071</v>
      </c>
      <c r="H27" s="2">
        <f t="shared" ref="H27" si="38">$C$14/($C$15-$C$16*G27)</f>
        <v>0.62210974042322009</v>
      </c>
      <c r="I27" s="2">
        <f t="shared" ref="I27" si="39">$C$14/($C$15-$C$16*H27)</f>
        <v>0.68280036240378583</v>
      </c>
      <c r="J27" s="2">
        <f t="shared" ref="J27" si="40">$C$14/($C$15-$C$16*I27)</f>
        <v>0.71231854270130357</v>
      </c>
      <c r="K27" s="2">
        <f t="shared" ref="K27" si="41">$C$14/($C$15-$C$16*J27)</f>
        <v>0.72761768474986643</v>
      </c>
      <c r="L27" s="2">
        <f t="shared" ref="L27" si="42">$C$14/($C$15-$C$16*K27)</f>
        <v>0.73580865245165905</v>
      </c>
      <c r="M27" s="2">
        <f t="shared" ref="M27" si="43">$C$14/($C$15-$C$16*L27)</f>
        <v>0.74027025007591674</v>
      </c>
      <c r="N27" s="2">
        <f t="shared" ref="N27" si="44">$C$14/($C$15-$C$16*M27)</f>
        <v>0.74272330769575978</v>
      </c>
      <c r="O27" s="2">
        <f t="shared" ref="O27" si="45">$C$14/($C$15-$C$16*N27)</f>
        <v>0.7440789772313966</v>
      </c>
      <c r="P27" s="2">
        <f t="shared" ref="P27" si="46">$C$14/($C$15-$C$16*O27)</f>
        <v>0.74483030633226499</v>
      </c>
      <c r="Q27" s="2">
        <f t="shared" ref="Q27" si="47">$C$14/($C$15-$C$16*P27)</f>
        <v>0.74524735620578053</v>
      </c>
      <c r="R27" s="2">
        <f t="shared" ref="R27" si="48">$C$14/($C$15-$C$16*Q27)</f>
        <v>0.74547905505879375</v>
      </c>
      <c r="S27" s="2">
        <f t="shared" ref="S27" si="49">$C$14/($C$15-$C$16*R27)</f>
        <v>0.74560784139748904</v>
      </c>
      <c r="T27" s="2">
        <f t="shared" ref="T27" si="50">$C$14/($C$15-$C$16*S27)</f>
        <v>0.74567944459802482</v>
      </c>
      <c r="U27" s="2">
        <f t="shared" ref="U27" si="51">$C$14/($C$15-$C$16*T27)</f>
        <v>0.74571926081247353</v>
      </c>
      <c r="V27" s="2">
        <f t="shared" ref="V27" si="52">$C$14/($C$15-$C$16*U27)</f>
        <v>0.7457414031559223</v>
      </c>
      <c r="W27" s="2">
        <f t="shared" ref="W27" si="53">$C$14/($C$15-$C$16*V27)</f>
        <v>0.74575371738604534</v>
      </c>
      <c r="X27" s="2">
        <f t="shared" ref="X27" si="54">$C$14/($C$15-$C$16*W27)</f>
        <v>0.74576056599086782</v>
      </c>
      <c r="Y27" s="2">
        <f t="shared" ref="Y27" si="55">$C$14/($C$15-$C$16*X27)</f>
        <v>0.74576437492231062</v>
      </c>
      <c r="Z27" s="2">
        <f t="shared" ref="Z27" si="56">$C$14/($C$15-$C$16*Y27)</f>
        <v>0.74576649332079048</v>
      </c>
      <c r="AA27" s="2">
        <f t="shared" ref="AA27" si="57">$C$14/($C$15-$C$16*Z27)</f>
        <v>0.74576767150738277</v>
      </c>
      <c r="AB27" s="2">
        <f t="shared" ref="AB27" si="58">$C$14/($C$15-$C$16*AA27)</f>
        <v>0.74576832677931204</v>
      </c>
      <c r="AC27" s="2">
        <f t="shared" ref="AC27" si="59">$C$14/($C$15-$C$16*AB27)</f>
        <v>0.74576869122233935</v>
      </c>
      <c r="AD27" s="2">
        <f t="shared" ref="AD27" si="60">$C$14/($C$15-$C$16*AC27)</f>
        <v>0.74576889391501577</v>
      </c>
      <c r="AE27" s="2">
        <f t="shared" ref="AE27" si="61">$C$14/($C$15-$C$16*AD27)</f>
        <v>0.74576900664687074</v>
      </c>
      <c r="AF27" s="2">
        <f t="shared" ref="AF27" si="62">$C$14/($C$15-$C$16*AE27)</f>
        <v>0.74576906934511078</v>
      </c>
      <c r="AG27" s="2">
        <f t="shared" ref="AG27" si="63">$C$14/($C$15-$C$16*AF27)</f>
        <v>0.74576910421608689</v>
      </c>
      <c r="AH27" s="2">
        <f t="shared" ref="AH27" si="64">$C$14/($C$15-$C$16*AG27)</f>
        <v>0.74576912361033254</v>
      </c>
      <c r="AI27" s="2">
        <f t="shared" ref="AI27" si="65">$C$14/($C$15-$C$16*AH27)</f>
        <v>0.74576913439686099</v>
      </c>
      <c r="AJ27" s="2">
        <f t="shared" ref="AJ27" si="66">$C$14/($C$15-$C$16*AI27)</f>
        <v>0.74576914039602182</v>
      </c>
    </row>
    <row r="28" spans="2:36" x14ac:dyDescent="0.25">
      <c r="E28" s="2" t="s">
        <v>22</v>
      </c>
      <c r="F28" s="2">
        <f>F22</f>
        <v>247.64422507446139</v>
      </c>
      <c r="G28" s="2">
        <f>(F28*$C$16-G26)/($C$15-$C$16*F27)</f>
        <v>128.68799367562474</v>
      </c>
      <c r="H28" s="2">
        <f>(G28*$C$16-H26)/($C$15-$C$16*G27)</f>
        <v>92.745085767040678</v>
      </c>
      <c r="I28" s="2">
        <f t="shared" ref="I28" si="67">(H28*$C$16-I26)/($C$15-$C$16*H27)</f>
        <v>76.920367657788333</v>
      </c>
      <c r="J28" s="2">
        <f t="shared" ref="J28" si="68">(I28*$C$16-J26)/($C$15-$C$16*I27)</f>
        <v>68.633163701649636</v>
      </c>
      <c r="K28" s="2">
        <f t="shared" ref="K28" si="69">(J28*$C$16-K26)/($C$15-$C$16*J27)</f>
        <v>63.734441623859055</v>
      </c>
      <c r="L28" s="2">
        <f t="shared" ref="L28" si="70">(K28*$C$16-L26)/($C$15-$C$16*K27)</f>
        <v>60.505277662899857</v>
      </c>
      <c r="M28" s="2">
        <f t="shared" ref="M28" si="71">(L28*$C$16-M26)/($C$15-$C$16*L27)</f>
        <v>58.142059871171966</v>
      </c>
      <c r="N28" s="2">
        <f t="shared" ref="N28" si="72">(M28*$C$16-N26)/($C$15-$C$16*M27)</f>
        <v>56.24317687300131</v>
      </c>
      <c r="O28" s="2">
        <f t="shared" ref="O28" si="73">(N28*$C$16-O26)/($C$15-$C$16*N27)</f>
        <v>54.600267721547205</v>
      </c>
      <c r="P28" s="2">
        <f t="shared" ref="P28" si="74">(O28*$C$16-P26)/($C$15-$C$16*O27)</f>
        <v>53.102880623741541</v>
      </c>
      <c r="Q28" s="2">
        <f t="shared" ref="Q28" si="75">(P28*$C$16-Q26)/($C$15-$C$16*P27)</f>
        <v>51.691677430035242</v>
      </c>
      <c r="R28" s="2">
        <f t="shared" ref="R28" si="76">(Q28*$C$16-R26)/($C$15-$C$16*Q27)</f>
        <v>50.334454236113615</v>
      </c>
      <c r="S28" s="2">
        <f t="shared" ref="S28" si="77">(R28*$C$16-S26)/($C$15-$C$16*R27)</f>
        <v>49.013542612979379</v>
      </c>
      <c r="T28" s="2">
        <f t="shared" ref="T28" si="78">(S28*$C$16-T26)/($C$15-$C$16*S27)</f>
        <v>47.719095854997931</v>
      </c>
      <c r="U28" s="2">
        <f t="shared" ref="U28" si="79">(T28*$C$16-U26)/($C$15-$C$16*T27)</f>
        <v>46.445483160624299</v>
      </c>
      <c r="V28" s="2">
        <f t="shared" ref="V28" si="80">(U28*$C$16-V26)/($C$15-$C$16*U27)</f>
        <v>45.189344899912349</v>
      </c>
      <c r="W28" s="2">
        <f t="shared" ref="W28" si="81">(V28*$C$16-W26)/($C$15-$C$16*V27)</f>
        <v>43.94854160724158</v>
      </c>
      <c r="X28" s="2">
        <f t="shared" ref="X28" si="82">(W28*$C$16-X26)/($C$15-$C$16*W27)</f>
        <v>42.721585574078667</v>
      </c>
      <c r="Y28" s="2">
        <f t="shared" ref="Y28" si="83">(X28*$C$16-Y26)/($C$15-$C$16*X27)</f>
        <v>41.507333535939566</v>
      </c>
      <c r="Z28" s="2">
        <f t="shared" ref="Z28" si="84">(Y28*$C$16-Z26)/($C$15-$C$16*Y27)</f>
        <v>40.304820748915226</v>
      </c>
      <c r="AA28" s="2">
        <f t="shared" ref="AA28" si="85">(Z28*$C$16-AA26)/($C$15-$C$16*Z27)</f>
        <v>39.113171664597793</v>
      </c>
      <c r="AB28" s="2">
        <f t="shared" ref="AB28" si="86">(AA28*$C$16-AB26)/($C$15-$C$16*AA27)</f>
        <v>37.93155210870902</v>
      </c>
      <c r="AC28" s="2">
        <f t="shared" ref="AC28" si="87">(AB28*$C$16-AC26)/($C$15-$C$16*AB27)</f>
        <v>36.759143948816515</v>
      </c>
      <c r="AD28" s="2">
        <f t="shared" ref="AD28" si="88">(AC28*$C$16-AD26)/($C$15-$C$16*AC27)</f>
        <v>35.59513194861885</v>
      </c>
      <c r="AE28" s="2">
        <f t="shared" ref="AE28" si="89">(AD28*$C$16-AE26)/($C$15-$C$16*AD27)</f>
        <v>34.438697227267639</v>
      </c>
      <c r="AF28" s="2">
        <f t="shared" ref="AF28" si="90">(AE28*$C$16-AF26)/($C$15-$C$16*AE27)</f>
        <v>33.289014300292372</v>
      </c>
      <c r="AG28" s="2">
        <f t="shared" ref="AG28" si="91">(AF28*$C$16-AG26)/($C$15-$C$16*AF27)</f>
        <v>32.145250064538352</v>
      </c>
      <c r="AH28" s="2">
        <f t="shared" ref="AH28" si="92">(AG28*$C$16-AH26)/($C$15-$C$16*AG27)</f>
        <v>31.006563840087516</v>
      </c>
      <c r="AI28" s="2">
        <f t="shared" ref="AI28" si="93">(AH28*$C$16-AI26)/($C$15-$C$16*AH27)</f>
        <v>29.872107988483183</v>
      </c>
      <c r="AJ28" s="2">
        <f t="shared" ref="AJ28" si="94">(AI28*$C$16-AJ26)/($C$15-$C$16*AI27)</f>
        <v>28.741028846487097</v>
      </c>
    </row>
    <row r="33" spans="2:36" x14ac:dyDescent="0.25">
      <c r="E33" s="2"/>
      <c r="F33" s="2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 x14ac:dyDescent="0.25">
      <c r="B34" s="2" t="s">
        <v>11</v>
      </c>
      <c r="C34" s="3">
        <v>92000</v>
      </c>
      <c r="E34" s="2" t="s">
        <v>0</v>
      </c>
      <c r="F34" s="5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 x14ac:dyDescent="0.25">
      <c r="B35" s="2" t="s">
        <v>9</v>
      </c>
      <c r="C35" s="3">
        <v>100</v>
      </c>
      <c r="E35" s="2" t="s">
        <v>7</v>
      </c>
      <c r="F35" s="2">
        <f>($C$37*$C$4*$C$36+$C$10*$G$35)/($C$10+$C$37*$C$4)</f>
        <v>299.99985163261891</v>
      </c>
      <c r="G35" s="2">
        <v>293.3331742146928</v>
      </c>
      <c r="H35" s="2">
        <v>286.66649776466045</v>
      </c>
      <c r="I35" s="2">
        <v>279.99982234203355</v>
      </c>
      <c r="J35" s="2">
        <v>273.33314800007156</v>
      </c>
      <c r="K35" s="2">
        <v>266.66647478546452</v>
      </c>
      <c r="L35" s="2">
        <v>259.99980273803936</v>
      </c>
      <c r="M35" s="2">
        <v>253.33313189053024</v>
      </c>
      <c r="N35" s="2">
        <v>246.66646226836411</v>
      </c>
      <c r="O35" s="2">
        <v>239.99979388952389</v>
      </c>
      <c r="P35" s="2">
        <v>233.33312676441892</v>
      </c>
      <c r="Q35" s="2">
        <v>226.66646089584373</v>
      </c>
      <c r="R35" s="2">
        <v>219.9997962789374</v>
      </c>
      <c r="S35" s="2">
        <v>213.33313290123812</v>
      </c>
      <c r="T35" s="2">
        <v>206.66647074273277</v>
      </c>
      <c r="U35" s="2">
        <v>199.99980977600597</v>
      </c>
      <c r="V35" s="2">
        <v>193.33314996637864</v>
      </c>
      <c r="W35" s="2">
        <v>186.66649127214777</v>
      </c>
      <c r="X35" s="2">
        <v>179.99983364481102</v>
      </c>
      <c r="Y35" s="2">
        <v>173.33317702939058</v>
      </c>
      <c r="Z35" s="2">
        <v>166.66652136473954</v>
      </c>
      <c r="AA35" s="2">
        <v>159.99986658394076</v>
      </c>
      <c r="AB35" s="2">
        <v>153.33321261468828</v>
      </c>
      <c r="AC35" s="2">
        <v>146.66655937975133</v>
      </c>
      <c r="AD35" s="2">
        <v>139.99990679742166</v>
      </c>
      <c r="AE35" s="2">
        <v>133.33325478203096</v>
      </c>
      <c r="AF35" s="2">
        <v>126.66660324445392</v>
      </c>
      <c r="AG35" s="2">
        <v>119.99995209266579</v>
      </c>
      <c r="AH35" s="2">
        <v>113.33330123228947</v>
      </c>
      <c r="AI35" s="2">
        <v>106.66665056717957</v>
      </c>
      <c r="AJ35" s="2">
        <v>100</v>
      </c>
    </row>
    <row r="36" spans="2:36" x14ac:dyDescent="0.25">
      <c r="B36" t="s">
        <v>14</v>
      </c>
      <c r="C36">
        <v>392</v>
      </c>
    </row>
    <row r="37" spans="2:36" x14ac:dyDescent="0.25">
      <c r="B37" t="s">
        <v>15</v>
      </c>
      <c r="C37">
        <v>1000</v>
      </c>
      <c r="E37" s="2" t="s">
        <v>12</v>
      </c>
      <c r="F37" s="2"/>
      <c r="G37" s="2">
        <f>G35+(($C$10*$C$5)/($C$9*$C$8))*((H35-2*G35+F35)/($C$4^2))</f>
        <v>293.33318538269765</v>
      </c>
      <c r="H37" s="2">
        <f t="shared" ref="H37:AI37" si="124">H35+(($C$10*$C$5)/($C$9*$C$8))*((I35-2*H35+G35)/($C$4^2))</f>
        <v>286.66650961933885</v>
      </c>
      <c r="I37" s="2">
        <f t="shared" si="124"/>
        <v>279.99983481124394</v>
      </c>
      <c r="J37" s="2">
        <f t="shared" si="124"/>
        <v>273.33316100801329</v>
      </c>
      <c r="K37" s="2">
        <f t="shared" si="124"/>
        <v>266.66648825294789</v>
      </c>
      <c r="L37" s="2">
        <f t="shared" si="124"/>
        <v>259.99981658322429</v>
      </c>
      <c r="M37" s="2">
        <f t="shared" si="124"/>
        <v>253.33314602910329</v>
      </c>
      <c r="N37" s="2">
        <f t="shared" si="124"/>
        <v>246.66647661443216</v>
      </c>
      <c r="O37" s="2">
        <f t="shared" si="124"/>
        <v>239.9998083557</v>
      </c>
      <c r="P37" s="2">
        <f t="shared" si="124"/>
        <v>233.33314126283935</v>
      </c>
      <c r="Q37" s="2">
        <f t="shared" si="124"/>
        <v>226.66647533817675</v>
      </c>
      <c r="R37" s="2">
        <f t="shared" si="124"/>
        <v>219.9998105774803</v>
      </c>
      <c r="S37" s="2">
        <f t="shared" si="124"/>
        <v>213.33314696886043</v>
      </c>
      <c r="T37" s="2">
        <f t="shared" si="124"/>
        <v>206.66648449402373</v>
      </c>
      <c r="U37" s="2">
        <f t="shared" si="124"/>
        <v>199.9998231271536</v>
      </c>
      <c r="V37" s="2">
        <f t="shared" si="124"/>
        <v>193.33316283633778</v>
      </c>
      <c r="W37" s="2">
        <f t="shared" si="124"/>
        <v>186.66650358246463</v>
      </c>
      <c r="X37" s="2">
        <f t="shared" si="124"/>
        <v>179.99984532076846</v>
      </c>
      <c r="Y37" s="2">
        <f t="shared" si="124"/>
        <v>173.33318799980663</v>
      </c>
      <c r="Z37" s="2">
        <f t="shared" si="124"/>
        <v>166.66653156303491</v>
      </c>
      <c r="AA37" s="2">
        <f t="shared" si="124"/>
        <v>159.99987594793654</v>
      </c>
      <c r="AB37" s="2">
        <f t="shared" si="124"/>
        <v>153.33322108755982</v>
      </c>
      <c r="AC37" s="2">
        <f t="shared" si="124"/>
        <v>146.66656690983521</v>
      </c>
      <c r="AD37" s="2">
        <f t="shared" si="124"/>
        <v>139.99991333902526</v>
      </c>
      <c r="AE37" s="2">
        <f t="shared" si="124"/>
        <v>133.33326029526563</v>
      </c>
      <c r="AF37" s="2">
        <f t="shared" si="124"/>
        <v>126.66660769586424</v>
      </c>
      <c r="AG37" s="2">
        <f t="shared" si="124"/>
        <v>119.99995545510974</v>
      </c>
      <c r="AH37" s="2">
        <f t="shared" si="124"/>
        <v>113.33330348536359</v>
      </c>
      <c r="AI37" s="2">
        <f t="shared" si="124"/>
        <v>106.66665169714486</v>
      </c>
    </row>
    <row r="38" spans="2:36" x14ac:dyDescent="0.25">
      <c r="E38" s="2" t="s">
        <v>13</v>
      </c>
      <c r="F38" s="2">
        <v>92000</v>
      </c>
      <c r="G38" s="53">
        <f>-$C$10*(G35-F35)/$C$4</f>
        <v>92000.148367380301</v>
      </c>
      <c r="H38" s="53">
        <f t="shared" ref="H38:AI38" si="125">-$C$10*(H35-G35)/$C$4</f>
        <v>92000.135010446495</v>
      </c>
      <c r="I38" s="53">
        <f t="shared" si="125"/>
        <v>92000.120832251137</v>
      </c>
      <c r="J38" s="53">
        <f t="shared" si="125"/>
        <v>92000.105919075504</v>
      </c>
      <c r="K38" s="53">
        <f t="shared" si="125"/>
        <v>92000.090361577211</v>
      </c>
      <c r="L38" s="53">
        <f t="shared" si="125"/>
        <v>92000.074254467094</v>
      </c>
      <c r="M38" s="53">
        <f t="shared" si="125"/>
        <v>92000.057695625903</v>
      </c>
      <c r="N38" s="53">
        <f t="shared" si="125"/>
        <v>92000.040785892532</v>
      </c>
      <c r="O38" s="53">
        <f t="shared" si="125"/>
        <v>92000.023627995135</v>
      </c>
      <c r="P38" s="53">
        <f t="shared" si="125"/>
        <v>92000.006326448507</v>
      </c>
      <c r="Q38" s="53">
        <f t="shared" si="125"/>
        <v>91999.988986337674</v>
      </c>
      <c r="R38" s="53">
        <f t="shared" si="125"/>
        <v>91999.971713307372</v>
      </c>
      <c r="S38" s="53">
        <f t="shared" si="125"/>
        <v>91999.954612250047</v>
      </c>
      <c r="T38" s="53">
        <f t="shared" si="125"/>
        <v>91999.937787373769</v>
      </c>
      <c r="U38" s="53">
        <f t="shared" si="125"/>
        <v>91999.921340829766</v>
      </c>
      <c r="V38" s="53">
        <f t="shared" si="125"/>
        <v>91999.905372857189</v>
      </c>
      <c r="W38" s="53">
        <f t="shared" si="125"/>
        <v>91999.88998038607</v>
      </c>
      <c r="X38" s="53">
        <f t="shared" si="125"/>
        <v>91999.875257247098</v>
      </c>
      <c r="Y38" s="53">
        <f t="shared" si="125"/>
        <v>91999.861292802016</v>
      </c>
      <c r="Z38" s="53">
        <f t="shared" si="125"/>
        <v>91999.848172184429</v>
      </c>
      <c r="AA38" s="53">
        <f t="shared" si="125"/>
        <v>91999.835975023161</v>
      </c>
      <c r="AB38" s="53">
        <f t="shared" si="125"/>
        <v>91999.824775684203</v>
      </c>
      <c r="AC38" s="53">
        <f t="shared" si="125"/>
        <v>91999.81464212983</v>
      </c>
      <c r="AD38" s="53">
        <f t="shared" si="125"/>
        <v>91999.805636149511</v>
      </c>
      <c r="AE38" s="53">
        <f t="shared" si="125"/>
        <v>91999.797812391596</v>
      </c>
      <c r="AF38" s="53">
        <f t="shared" si="125"/>
        <v>91999.791218563143</v>
      </c>
      <c r="AG38" s="53">
        <f t="shared" si="125"/>
        <v>91999.785894676199</v>
      </c>
      <c r="AH38" s="53">
        <f t="shared" si="125"/>
        <v>91999.781873193249</v>
      </c>
      <c r="AI38" s="53">
        <f t="shared" si="125"/>
        <v>91999.77917851659</v>
      </c>
    </row>
  </sheetData>
  <conditionalFormatting sqref="F35:AJ35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00B0F0"/>
      </colorScale>
    </cfRule>
  </conditionalFormatting>
  <conditionalFormatting sqref="F22:AJ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00B0F0"/>
      </colorScale>
    </cfRule>
  </conditionalFormatting>
  <conditionalFormatting sqref="F13:AJ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00B0F0"/>
      </colorScale>
    </cfRule>
  </conditionalFormatting>
  <conditionalFormatting sqref="AN20:BR2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2Д Неявный</vt:lpstr>
      <vt:lpstr>Неявный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Шаронов</dc:creator>
  <cp:lastModifiedBy>Nursultanov, Daniyar</cp:lastModifiedBy>
  <dcterms:created xsi:type="dcterms:W3CDTF">2021-02-19T10:02:37Z</dcterms:created>
  <dcterms:modified xsi:type="dcterms:W3CDTF">2021-04-01T15:39:55Z</dcterms:modified>
</cp:coreProperties>
</file>