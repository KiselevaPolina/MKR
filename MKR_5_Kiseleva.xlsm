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trlProps/ctrlProp3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8.xml" ContentType="application/vnd.openxmlformats-officedocument.drawing+xml"/>
  <Override PartName="/xl/ctrlProps/ctrlProp4.xml" ContentType="application/vnd.ms-excel.controlpropertie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9.xml" ContentType="application/vnd.openxmlformats-officedocument.drawing+xml"/>
  <Override PartName="/xl/ctrlProps/ctrlProp5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10.xml" ContentType="application/vnd.openxmlformats-officedocument.drawing+xml"/>
  <Override PartName="/xl/ctrlProps/ctrlProp6.xml" ContentType="application/vnd.ms-excel.controlproperties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  <Override PartName="/xl/charts/colors7.xml" ContentType="application/vnd.ms-office.chartcolorstyle+xml"/>
  <Override PartName="/xl/charts/style7.xml" ContentType="application/vnd.ms-office.chartstyle+xml"/>
  <Override PartName="/xl/charts/colors8.xml" ContentType="application/vnd.ms-office.chartcolorstyle+xml"/>
  <Override PartName="/xl/charts/style8.xml" ContentType="application/vnd.ms-office.chartstyle+xml"/>
  <Override PartName="/xl/charts/colors9.xml" ContentType="application/vnd.ms-office.chartcolorstyle+xml"/>
  <Override PartName="/xl/charts/style9.xml" ContentType="application/vnd.ms-office.chartstyle+xml"/>
  <Override PartName="/xl/charts/colors10.xml" ContentType="application/vnd.ms-office.chartcolorstyle+xml"/>
  <Override PartName="/xl/charts/style10.xml" ContentType="application/vnd.ms-office.chartstyle+xml"/>
  <Override PartName="/xl/charts/colors11.xml" ContentType="application/vnd.ms-office.chartcolorstyle+xml"/>
  <Override PartName="/xl/charts/style11.xml" ContentType="application/vnd.ms-office.chartstyle+xml"/>
  <Override PartName="/xl/charts/colors12.xml" ContentType="application/vnd.ms-office.chartcolorstyle+xml"/>
  <Override PartName="/xl/charts/style12.xml" ContentType="application/vnd.ms-office.chartstyle+xml"/>
  <Override PartName="/xl/charts/colors13.xml" ContentType="application/vnd.ms-office.chartcolorstyle+xml"/>
  <Override PartName="/xl/charts/style13.xml" ContentType="application/vnd.ms-office.chartstyle+xml"/>
  <Override PartName="/xl/charts/colors14.xml" ContentType="application/vnd.ms-office.chartcolorstyle+xml"/>
  <Override PartName="/xl/charts/style14.xml" ContentType="application/vnd.ms-office.chartstyle+xml"/>
  <Override PartName="/xl/charts/colors15.xml" ContentType="application/vnd.ms-office.chartcolorstyle+xml"/>
  <Override PartName="/xl/charts/style15.xml" ContentType="application/vnd.ms-office.chartstyle+xml"/>
  <Override PartName="/xl/charts/colors16.xml" ContentType="application/vnd.ms-office.chartcolorstyle+xml"/>
  <Override PartName="/xl/charts/style16.xml" ContentType="application/vnd.ms-office.chartstyle+xml"/>
  <Override PartName="/xl/charts/colors17.xml" ContentType="application/vnd.ms-office.chartcolorstyle+xml"/>
  <Override PartName="/xl/charts/style17.xml" ContentType="application/vnd.ms-office.chartstyle+xml"/>
  <Override PartName="/xl/charts/colors18.xml" ContentType="application/vnd.ms-office.chartcolorstyle+xml"/>
  <Override PartName="/xl/charts/style18.xml" ContentType="application/vnd.ms-office.chartstyle+xml"/>
  <Override PartName="/xl/charts/colors19.xml" ContentType="application/vnd.ms-office.chartcolorstyle+xml"/>
  <Override PartName="/xl/charts/style19.xml" ContentType="application/vnd.ms-office.chartstyle+xml"/>
  <Override PartName="/xl/charts/colors20.xml" ContentType="application/vnd.ms-office.chartcolorstyle+xml"/>
  <Override PartName="/xl/charts/style20.xml" ContentType="application/vnd.ms-office.chartstyle+xml"/>
  <Override PartName="/xl/charts/colors21.xml" ContentType="application/vnd.ms-office.chartcolorstyle+xml"/>
  <Override PartName="/xl/charts/style21.xml" ContentType="application/vnd.ms-office.chartstyle+xml"/>
  <Override PartName="/xl/charts/colors22.xml" ContentType="application/vnd.ms-office.chartcolorstyle+xml"/>
  <Override PartName="/xl/charts/style22.xml" ContentType="application/vnd.ms-office.chartstyle+xml"/>
  <Override PartName="/xl/charts/colors23.xml" ContentType="application/vnd.ms-office.chartcolorstyle+xml"/>
  <Override PartName="/xl/charts/style23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ЭтаКнига"/>
  <bookViews>
    <workbookView xWindow="0" yWindow="0" windowWidth="23040" windowHeight="9192"/>
  </bookViews>
  <sheets>
    <sheet name="M=1,5_Const" sheetId="1" r:id="rId1"/>
    <sheet name="M=1,5_Var" sheetId="2" r:id="rId2"/>
    <sheet name="Const_p135" sheetId="9" r:id="rId3"/>
    <sheet name="Var_p135" sheetId="8" r:id="rId4"/>
    <sheet name="Const_p105" sheetId="3" r:id="rId5"/>
    <sheet name="Var_p105" sheetId="4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7" i="9" l="1"/>
  <c r="N18" i="9" s="1"/>
  <c r="J17" i="9"/>
  <c r="J18" i="9" s="1"/>
  <c r="J19" i="9" s="1"/>
  <c r="Q15" i="9"/>
  <c r="P15" i="9"/>
  <c r="O15" i="9"/>
  <c r="N15" i="9"/>
  <c r="M15" i="9"/>
  <c r="L15" i="9"/>
  <c r="K15" i="9"/>
  <c r="J15" i="9"/>
  <c r="I15" i="9"/>
  <c r="H15" i="9"/>
  <c r="G15" i="9"/>
  <c r="Q14" i="9"/>
  <c r="Q13" i="9"/>
  <c r="Q17" i="9" s="1"/>
  <c r="Q18" i="9" s="1"/>
  <c r="Q19" i="9" s="1"/>
  <c r="P13" i="9"/>
  <c r="O13" i="9"/>
  <c r="N13" i="9"/>
  <c r="N19" i="9" s="1"/>
  <c r="M13" i="9"/>
  <c r="M17" i="9" s="1"/>
  <c r="M18" i="9" s="1"/>
  <c r="L13" i="9"/>
  <c r="L17" i="9" s="1"/>
  <c r="L18" i="9" s="1"/>
  <c r="L19" i="9" s="1"/>
  <c r="K13" i="9"/>
  <c r="K17" i="9" s="1"/>
  <c r="K18" i="9" s="1"/>
  <c r="J13" i="9"/>
  <c r="I13" i="9"/>
  <c r="I17" i="9" s="1"/>
  <c r="I18" i="9" s="1"/>
  <c r="I19" i="9" s="1"/>
  <c r="H13" i="9"/>
  <c r="H11" i="9" s="1"/>
  <c r="H14" i="9" s="1"/>
  <c r="G13" i="9"/>
  <c r="Q4" i="9"/>
  <c r="Q10" i="9" s="1"/>
  <c r="H4" i="9"/>
  <c r="H10" i="9" s="1"/>
  <c r="G4" i="9"/>
  <c r="G10" i="9" s="1"/>
  <c r="C4" i="9"/>
  <c r="H2" i="9" s="1"/>
  <c r="I2" i="9" s="1"/>
  <c r="J2" i="9" s="1"/>
  <c r="K2" i="9" s="1"/>
  <c r="L2" i="9" s="1"/>
  <c r="M2" i="9" s="1"/>
  <c r="N2" i="9" s="1"/>
  <c r="O2" i="9" s="1"/>
  <c r="P2" i="9" s="1"/>
  <c r="Q2" i="9" s="1"/>
  <c r="I3" i="9"/>
  <c r="I4" i="9" s="1"/>
  <c r="I10" i="9" s="1"/>
  <c r="H3" i="9"/>
  <c r="Q14" i="8"/>
  <c r="Q13" i="8"/>
  <c r="Q17" i="8" s="1"/>
  <c r="Q18" i="8" s="1"/>
  <c r="P13" i="8"/>
  <c r="P17" i="8" s="1"/>
  <c r="P18" i="8" s="1"/>
  <c r="O13" i="8"/>
  <c r="O17" i="8" s="1"/>
  <c r="O18" i="8" s="1"/>
  <c r="O19" i="8" s="1"/>
  <c r="O21" i="8" s="1"/>
  <c r="N13" i="8"/>
  <c r="M13" i="8"/>
  <c r="L13" i="8"/>
  <c r="L17" i="8" s="1"/>
  <c r="L18" i="8" s="1"/>
  <c r="L19" i="8" s="1"/>
  <c r="L21" i="8" s="1"/>
  <c r="K13" i="8"/>
  <c r="K17" i="8" s="1"/>
  <c r="K18" i="8" s="1"/>
  <c r="K19" i="8" s="1"/>
  <c r="K21" i="8" s="1"/>
  <c r="J13" i="8"/>
  <c r="J17" i="8" s="1"/>
  <c r="J18" i="8" s="1"/>
  <c r="I13" i="8"/>
  <c r="H13" i="8"/>
  <c r="H17" i="8" s="1"/>
  <c r="H18" i="8" s="1"/>
  <c r="Q4" i="8"/>
  <c r="G4" i="8"/>
  <c r="C4" i="8"/>
  <c r="H3" i="8"/>
  <c r="H4" i="8" s="1"/>
  <c r="I2" i="8"/>
  <c r="J2" i="8" s="1"/>
  <c r="K2" i="8" s="1"/>
  <c r="L2" i="8" s="1"/>
  <c r="M2" i="8" s="1"/>
  <c r="N2" i="8" s="1"/>
  <c r="O2" i="8" s="1"/>
  <c r="P2" i="8" s="1"/>
  <c r="Q2" i="8" s="1"/>
  <c r="H2" i="8"/>
  <c r="J3" i="9" l="1"/>
  <c r="H17" i="9"/>
  <c r="H18" i="9" s="1"/>
  <c r="H19" i="9" s="1"/>
  <c r="P17" i="9"/>
  <c r="P18" i="9" s="1"/>
  <c r="P19" i="9" s="1"/>
  <c r="G14" i="9"/>
  <c r="K19" i="9"/>
  <c r="M19" i="9"/>
  <c r="G17" i="9"/>
  <c r="G18" i="9" s="1"/>
  <c r="G19" i="9" s="1"/>
  <c r="O17" i="9"/>
  <c r="O18" i="9" s="1"/>
  <c r="O19" i="9" s="1"/>
  <c r="Q10" i="8"/>
  <c r="I17" i="8"/>
  <c r="I18" i="8" s="1"/>
  <c r="I19" i="8" s="1"/>
  <c r="I21" i="8" s="1"/>
  <c r="I22" i="8" s="1"/>
  <c r="O20" i="8"/>
  <c r="O22" i="8"/>
  <c r="H10" i="8"/>
  <c r="G13" i="8"/>
  <c r="Q19" i="8"/>
  <c r="Q21" i="8" s="1"/>
  <c r="L22" i="8"/>
  <c r="L20" i="8"/>
  <c r="K22" i="8"/>
  <c r="K20" i="8"/>
  <c r="M17" i="8"/>
  <c r="M18" i="8" s="1"/>
  <c r="M19" i="8" s="1"/>
  <c r="M21" i="8" s="1"/>
  <c r="I3" i="8"/>
  <c r="Q15" i="8"/>
  <c r="N17" i="8"/>
  <c r="N18" i="8" s="1"/>
  <c r="N19" i="8" s="1"/>
  <c r="N21" i="8" s="1"/>
  <c r="H19" i="8"/>
  <c r="H21" i="8" s="1"/>
  <c r="P19" i="8"/>
  <c r="P21" i="8" s="1"/>
  <c r="J19" i="8"/>
  <c r="J21" i="8" s="1"/>
  <c r="J4" i="9" l="1"/>
  <c r="J10" i="9" s="1"/>
  <c r="K3" i="9"/>
  <c r="I20" i="8"/>
  <c r="M22" i="8"/>
  <c r="M20" i="8"/>
  <c r="J20" i="8"/>
  <c r="J22" i="8"/>
  <c r="G10" i="8"/>
  <c r="G17" i="8"/>
  <c r="G18" i="8" s="1"/>
  <c r="G19" i="8" s="1"/>
  <c r="G21" i="8" s="1"/>
  <c r="G14" i="8"/>
  <c r="H22" i="8"/>
  <c r="H20" i="8"/>
  <c r="Q20" i="8"/>
  <c r="Q22" i="8"/>
  <c r="Q23" i="8" s="1"/>
  <c r="J3" i="8"/>
  <c r="I4" i="8"/>
  <c r="I10" i="8" s="1"/>
  <c r="P20" i="8"/>
  <c r="P22" i="8"/>
  <c r="N20" i="8"/>
  <c r="N22" i="8"/>
  <c r="K4" i="9" l="1"/>
  <c r="K10" i="9" s="1"/>
  <c r="L3" i="9"/>
  <c r="J11" i="9"/>
  <c r="J14" i="9" s="1"/>
  <c r="I11" i="9"/>
  <c r="I14" i="9" s="1"/>
  <c r="G15" i="8"/>
  <c r="G20" i="8"/>
  <c r="G22" i="8"/>
  <c r="G23" i="8" s="1"/>
  <c r="K3" i="8"/>
  <c r="J4" i="8"/>
  <c r="J10" i="8" s="1"/>
  <c r="H11" i="8"/>
  <c r="H14" i="8" s="1"/>
  <c r="L4" i="9" l="1"/>
  <c r="L10" i="9" s="1"/>
  <c r="M3" i="9"/>
  <c r="K11" i="9"/>
  <c r="K14" i="9" s="1"/>
  <c r="H23" i="8"/>
  <c r="H15" i="8"/>
  <c r="K4" i="8"/>
  <c r="K10" i="8" s="1"/>
  <c r="J11" i="8" s="1"/>
  <c r="J14" i="8" s="1"/>
  <c r="L3" i="8"/>
  <c r="I11" i="8"/>
  <c r="I14" i="8" s="1"/>
  <c r="M4" i="9" l="1"/>
  <c r="M10" i="9" s="1"/>
  <c r="N3" i="9"/>
  <c r="L11" i="9"/>
  <c r="L14" i="9" s="1"/>
  <c r="J15" i="8"/>
  <c r="J23" i="8"/>
  <c r="I23" i="8"/>
  <c r="I15" i="8"/>
  <c r="M3" i="8"/>
  <c r="L4" i="8"/>
  <c r="L10" i="8" s="1"/>
  <c r="K11" i="8" s="1"/>
  <c r="K14" i="8" s="1"/>
  <c r="O3" i="9" l="1"/>
  <c r="N4" i="9"/>
  <c r="N10" i="9" s="1"/>
  <c r="M11" i="9" s="1"/>
  <c r="M14" i="9" s="1"/>
  <c r="K15" i="8"/>
  <c r="K23" i="8"/>
  <c r="N3" i="8"/>
  <c r="M4" i="8"/>
  <c r="M10" i="8" s="1"/>
  <c r="P3" i="9" l="1"/>
  <c r="P4" i="9" s="1"/>
  <c r="P10" i="9" s="1"/>
  <c r="P11" i="9" s="1"/>
  <c r="P14" i="9" s="1"/>
  <c r="O4" i="9"/>
  <c r="O10" i="9" s="1"/>
  <c r="O11" i="9" s="1"/>
  <c r="O14" i="9" s="1"/>
  <c r="O3" i="8"/>
  <c r="N4" i="8"/>
  <c r="N10" i="8" s="1"/>
  <c r="M11" i="8" s="1"/>
  <c r="M14" i="8" s="1"/>
  <c r="L11" i="8"/>
  <c r="L14" i="8" s="1"/>
  <c r="N11" i="9" l="1"/>
  <c r="N14" i="9" s="1"/>
  <c r="M15" i="8"/>
  <c r="M23" i="8"/>
  <c r="L23" i="8"/>
  <c r="L15" i="8"/>
  <c r="O4" i="8"/>
  <c r="O10" i="8" s="1"/>
  <c r="N11" i="8" s="1"/>
  <c r="N14" i="8" s="1"/>
  <c r="P3" i="8"/>
  <c r="P4" i="8" s="1"/>
  <c r="P10" i="8" s="1"/>
  <c r="P11" i="8" s="1"/>
  <c r="P14" i="8" s="1"/>
  <c r="P23" i="8" l="1"/>
  <c r="P15" i="8"/>
  <c r="N15" i="8"/>
  <c r="N23" i="8"/>
  <c r="O11" i="8"/>
  <c r="O14" i="8" s="1"/>
  <c r="O15" i="8" l="1"/>
  <c r="O23" i="8"/>
  <c r="Q14" i="2" l="1"/>
  <c r="Q13" i="2"/>
  <c r="Q10" i="2" s="1"/>
  <c r="P13" i="2"/>
  <c r="O13" i="2"/>
  <c r="O17" i="2" s="1"/>
  <c r="O18" i="2" s="1"/>
  <c r="O19" i="2" s="1"/>
  <c r="O21" i="2" s="1"/>
  <c r="N13" i="2"/>
  <c r="M13" i="2"/>
  <c r="L13" i="2"/>
  <c r="L17" i="2" s="1"/>
  <c r="L18" i="2" s="1"/>
  <c r="K13" i="2"/>
  <c r="K17" i="2" s="1"/>
  <c r="K18" i="2" s="1"/>
  <c r="K19" i="2" s="1"/>
  <c r="K21" i="2" s="1"/>
  <c r="J13" i="2"/>
  <c r="J17" i="2" s="1"/>
  <c r="J18" i="2" s="1"/>
  <c r="I13" i="2"/>
  <c r="I17" i="2" s="1"/>
  <c r="I18" i="2" s="1"/>
  <c r="I19" i="2" s="1"/>
  <c r="I21" i="2" s="1"/>
  <c r="H13" i="2"/>
  <c r="H17" i="2" s="1"/>
  <c r="H18" i="2" s="1"/>
  <c r="Q4" i="2"/>
  <c r="G4" i="2"/>
  <c r="C4" i="2"/>
  <c r="H3" i="2"/>
  <c r="H4" i="2" s="1"/>
  <c r="I2" i="2"/>
  <c r="J2" i="2" s="1"/>
  <c r="K2" i="2" s="1"/>
  <c r="L2" i="2" s="1"/>
  <c r="M2" i="2" s="1"/>
  <c r="N2" i="2" s="1"/>
  <c r="O2" i="2" s="1"/>
  <c r="P2" i="2" s="1"/>
  <c r="Q2" i="2" s="1"/>
  <c r="H2" i="2"/>
  <c r="Q17" i="2" l="1"/>
  <c r="Q18" i="2" s="1"/>
  <c r="Q19" i="2" s="1"/>
  <c r="Q21" i="2" s="1"/>
  <c r="Q22" i="2" s="1"/>
  <c r="Q23" i="2" s="1"/>
  <c r="H10" i="2"/>
  <c r="G13" i="2"/>
  <c r="G10" i="2" s="1"/>
  <c r="O20" i="2"/>
  <c r="O22" i="2"/>
  <c r="K22" i="2"/>
  <c r="K20" i="2"/>
  <c r="L19" i="2"/>
  <c r="L21" i="2" s="1"/>
  <c r="I20" i="2"/>
  <c r="I22" i="2"/>
  <c r="M17" i="2"/>
  <c r="M18" i="2" s="1"/>
  <c r="M19" i="2" s="1"/>
  <c r="M21" i="2" s="1"/>
  <c r="I3" i="2"/>
  <c r="N17" i="2"/>
  <c r="N18" i="2" s="1"/>
  <c r="N19" i="2" s="1"/>
  <c r="N21" i="2" s="1"/>
  <c r="H19" i="2"/>
  <c r="H21" i="2" s="1"/>
  <c r="P17" i="2"/>
  <c r="P18" i="2" s="1"/>
  <c r="P19" i="2" s="1"/>
  <c r="P21" i="2" s="1"/>
  <c r="J19" i="2"/>
  <c r="J21" i="2" s="1"/>
  <c r="Q20" i="2" l="1"/>
  <c r="Q15" i="2"/>
  <c r="P20" i="2"/>
  <c r="P22" i="2"/>
  <c r="M20" i="2"/>
  <c r="M22" i="2"/>
  <c r="H20" i="2"/>
  <c r="H22" i="2"/>
  <c r="J20" i="2"/>
  <c r="J22" i="2"/>
  <c r="L22" i="2"/>
  <c r="L20" i="2"/>
  <c r="G14" i="2"/>
  <c r="G17" i="2"/>
  <c r="G18" i="2" s="1"/>
  <c r="G19" i="2" s="1"/>
  <c r="G21" i="2" s="1"/>
  <c r="N20" i="2"/>
  <c r="N22" i="2"/>
  <c r="J3" i="2"/>
  <c r="I4" i="2"/>
  <c r="I10" i="2" s="1"/>
  <c r="H11" i="2" s="1"/>
  <c r="H14" i="2" s="1"/>
  <c r="G20" i="2" l="1"/>
  <c r="G22" i="2"/>
  <c r="G23" i="2" s="1"/>
  <c r="H23" i="2"/>
  <c r="H15" i="2"/>
  <c r="G15" i="2"/>
  <c r="J4" i="2"/>
  <c r="J10" i="2" s="1"/>
  <c r="I11" i="2" s="1"/>
  <c r="I14" i="2" s="1"/>
  <c r="K3" i="2"/>
  <c r="I23" i="2" l="1"/>
  <c r="I15" i="2"/>
  <c r="K4" i="2"/>
  <c r="K10" i="2" s="1"/>
  <c r="L3" i="2"/>
  <c r="M3" i="2" l="1"/>
  <c r="L4" i="2"/>
  <c r="L10" i="2" s="1"/>
  <c r="K11" i="2" s="1"/>
  <c r="K14" i="2" s="1"/>
  <c r="J11" i="2"/>
  <c r="J14" i="2" s="1"/>
  <c r="J23" i="2" l="1"/>
  <c r="J15" i="2"/>
  <c r="K15" i="2"/>
  <c r="K23" i="2"/>
  <c r="N3" i="2"/>
  <c r="M4" i="2"/>
  <c r="M10" i="2" s="1"/>
  <c r="O3" i="2" l="1"/>
  <c r="N4" i="2"/>
  <c r="N10" i="2" s="1"/>
  <c r="L11" i="2"/>
  <c r="L14" i="2" s="1"/>
  <c r="L15" i="2" l="1"/>
  <c r="L23" i="2"/>
  <c r="O4" i="2"/>
  <c r="O10" i="2" s="1"/>
  <c r="P3" i="2"/>
  <c r="P4" i="2" s="1"/>
  <c r="P10" i="2" s="1"/>
  <c r="P11" i="2" s="1"/>
  <c r="P14" i="2" s="1"/>
  <c r="M11" i="2"/>
  <c r="M14" i="2" s="1"/>
  <c r="M15" i="2" l="1"/>
  <c r="M23" i="2"/>
  <c r="P23" i="2"/>
  <c r="P15" i="2"/>
  <c r="O11" i="2"/>
  <c r="O14" i="2" s="1"/>
  <c r="N11" i="2"/>
  <c r="N14" i="2" s="1"/>
  <c r="N15" i="2" l="1"/>
  <c r="N23" i="2"/>
  <c r="O15" i="2"/>
  <c r="O23" i="2"/>
  <c r="P17" i="4" l="1"/>
  <c r="P18" i="4" s="1"/>
  <c r="P19" i="4" s="1"/>
  <c r="P21" i="4" s="1"/>
  <c r="L17" i="4"/>
  <c r="L18" i="4" s="1"/>
  <c r="H17" i="4"/>
  <c r="H18" i="4" s="1"/>
  <c r="H19" i="4" s="1"/>
  <c r="H21" i="4" s="1"/>
  <c r="Q14" i="4"/>
  <c r="Q13" i="4"/>
  <c r="Q17" i="4" s="1"/>
  <c r="P13" i="4"/>
  <c r="O13" i="4"/>
  <c r="O17" i="4" s="1"/>
  <c r="O18" i="4" s="1"/>
  <c r="O19" i="4" s="1"/>
  <c r="O21" i="4" s="1"/>
  <c r="N13" i="4"/>
  <c r="M13" i="4"/>
  <c r="L13" i="4"/>
  <c r="L19" i="4" s="1"/>
  <c r="L21" i="4" s="1"/>
  <c r="K13" i="4"/>
  <c r="K17" i="4" s="1"/>
  <c r="K18" i="4" s="1"/>
  <c r="J13" i="4"/>
  <c r="J17" i="4" s="1"/>
  <c r="J18" i="4" s="1"/>
  <c r="J19" i="4" s="1"/>
  <c r="J21" i="4" s="1"/>
  <c r="I13" i="4"/>
  <c r="I17" i="4" s="1"/>
  <c r="I18" i="4" s="1"/>
  <c r="H13" i="4"/>
  <c r="Q10" i="4"/>
  <c r="Q4" i="4"/>
  <c r="G4" i="4"/>
  <c r="C4" i="4"/>
  <c r="H2" i="4" s="1"/>
  <c r="I2" i="4" s="1"/>
  <c r="J2" i="4" s="1"/>
  <c r="K2" i="4" s="1"/>
  <c r="L2" i="4" s="1"/>
  <c r="M2" i="4" s="1"/>
  <c r="N2" i="4" s="1"/>
  <c r="O2" i="4" s="1"/>
  <c r="P2" i="4" s="1"/>
  <c r="Q2" i="4" s="1"/>
  <c r="H3" i="4"/>
  <c r="H4" i="4" s="1"/>
  <c r="K18" i="3"/>
  <c r="O17" i="3"/>
  <c r="O18" i="3" s="1"/>
  <c r="N17" i="3"/>
  <c r="N18" i="3" s="1"/>
  <c r="K17" i="3"/>
  <c r="J17" i="3"/>
  <c r="J18" i="3" s="1"/>
  <c r="J19" i="3" s="1"/>
  <c r="Q14" i="3"/>
  <c r="Q13" i="3"/>
  <c r="Q17" i="3" s="1"/>
  <c r="Q18" i="3" s="1"/>
  <c r="Q19" i="3" s="1"/>
  <c r="P13" i="3"/>
  <c r="P17" i="3" s="1"/>
  <c r="P18" i="3" s="1"/>
  <c r="P19" i="3" s="1"/>
  <c r="O13" i="3"/>
  <c r="N13" i="3"/>
  <c r="N19" i="3" s="1"/>
  <c r="M13" i="3"/>
  <c r="M17" i="3" s="1"/>
  <c r="M18" i="3" s="1"/>
  <c r="L13" i="3"/>
  <c r="L17" i="3" s="1"/>
  <c r="L18" i="3" s="1"/>
  <c r="K13" i="3"/>
  <c r="K19" i="3" s="1"/>
  <c r="J13" i="3"/>
  <c r="I13" i="3"/>
  <c r="I17" i="3" s="1"/>
  <c r="I18" i="3" s="1"/>
  <c r="I19" i="3" s="1"/>
  <c r="H13" i="3"/>
  <c r="H17" i="3" s="1"/>
  <c r="H18" i="3" s="1"/>
  <c r="H19" i="3" s="1"/>
  <c r="Q10" i="3"/>
  <c r="Q4" i="3"/>
  <c r="G4" i="3"/>
  <c r="C4" i="3"/>
  <c r="H3" i="3"/>
  <c r="H4" i="3" s="1"/>
  <c r="H2" i="3"/>
  <c r="I2" i="3" s="1"/>
  <c r="J2" i="3" s="1"/>
  <c r="K2" i="3" s="1"/>
  <c r="L2" i="3" s="1"/>
  <c r="M2" i="3" s="1"/>
  <c r="N2" i="3" s="1"/>
  <c r="O2" i="3" s="1"/>
  <c r="P2" i="3" s="1"/>
  <c r="Q2" i="3" s="1"/>
  <c r="O20" i="4" l="1"/>
  <c r="O22" i="4"/>
  <c r="Q15" i="4"/>
  <c r="Q18" i="4"/>
  <c r="J20" i="4"/>
  <c r="J22" i="4"/>
  <c r="H20" i="4"/>
  <c r="H22" i="4"/>
  <c r="L22" i="4"/>
  <c r="L20" i="4"/>
  <c r="H10" i="4"/>
  <c r="G13" i="4"/>
  <c r="G10" i="4"/>
  <c r="M19" i="4"/>
  <c r="M21" i="4" s="1"/>
  <c r="P20" i="4"/>
  <c r="P22" i="4"/>
  <c r="M17" i="4"/>
  <c r="M18" i="4" s="1"/>
  <c r="I3" i="4"/>
  <c r="N17" i="4"/>
  <c r="N18" i="4" s="1"/>
  <c r="N19" i="4" s="1"/>
  <c r="N21" i="4" s="1"/>
  <c r="I19" i="4"/>
  <c r="I21" i="4" s="1"/>
  <c r="Q19" i="4"/>
  <c r="Q21" i="4" s="1"/>
  <c r="K19" i="4"/>
  <c r="K21" i="4" s="1"/>
  <c r="O19" i="3"/>
  <c r="H10" i="3"/>
  <c r="G13" i="3"/>
  <c r="G10" i="3"/>
  <c r="I3" i="3"/>
  <c r="L19" i="3"/>
  <c r="M19" i="3"/>
  <c r="Q15" i="1"/>
  <c r="P15" i="1"/>
  <c r="O15" i="1"/>
  <c r="N15" i="1"/>
  <c r="M15" i="1"/>
  <c r="L15" i="1"/>
  <c r="K15" i="1"/>
  <c r="J15" i="1"/>
  <c r="I15" i="1"/>
  <c r="H15" i="1"/>
  <c r="G15" i="1"/>
  <c r="Q14" i="1"/>
  <c r="Q13" i="1"/>
  <c r="Q17" i="1" s="1"/>
  <c r="Q18" i="1" s="1"/>
  <c r="Q19" i="1" s="1"/>
  <c r="P13" i="1"/>
  <c r="O13" i="1"/>
  <c r="N13" i="1"/>
  <c r="N17" i="1" s="1"/>
  <c r="N18" i="1" s="1"/>
  <c r="N19" i="1" s="1"/>
  <c r="M13" i="1"/>
  <c r="M17" i="1" s="1"/>
  <c r="M18" i="1" s="1"/>
  <c r="L13" i="1"/>
  <c r="L17" i="1" s="1"/>
  <c r="L18" i="1" s="1"/>
  <c r="L19" i="1" s="1"/>
  <c r="K13" i="1"/>
  <c r="K17" i="1" s="1"/>
  <c r="K18" i="1" s="1"/>
  <c r="J13" i="1"/>
  <c r="J17" i="1" s="1"/>
  <c r="J18" i="1" s="1"/>
  <c r="J19" i="1" s="1"/>
  <c r="I13" i="1"/>
  <c r="I17" i="1" s="1"/>
  <c r="I18" i="1" s="1"/>
  <c r="I19" i="1" s="1"/>
  <c r="H13" i="1"/>
  <c r="Q4" i="1"/>
  <c r="H4" i="1"/>
  <c r="G13" i="1" s="1"/>
  <c r="G4" i="1"/>
  <c r="C4" i="1"/>
  <c r="H2" i="1" s="1"/>
  <c r="I2" i="1" s="1"/>
  <c r="J2" i="1" s="1"/>
  <c r="K2" i="1" s="1"/>
  <c r="L2" i="1" s="1"/>
  <c r="M2" i="1" s="1"/>
  <c r="N2" i="1" s="1"/>
  <c r="O2" i="1" s="1"/>
  <c r="P2" i="1" s="1"/>
  <c r="Q2" i="1" s="1"/>
  <c r="I3" i="1"/>
  <c r="I4" i="1" s="1"/>
  <c r="H3" i="1"/>
  <c r="G10" i="1" l="1"/>
  <c r="Q10" i="1"/>
  <c r="I10" i="1"/>
  <c r="Q20" i="4"/>
  <c r="Q22" i="4"/>
  <c r="Q23" i="4" s="1"/>
  <c r="N20" i="4"/>
  <c r="N22" i="4"/>
  <c r="I4" i="4"/>
  <c r="I10" i="4" s="1"/>
  <c r="J3" i="4"/>
  <c r="I20" i="4"/>
  <c r="I22" i="4"/>
  <c r="G14" i="4"/>
  <c r="G17" i="4"/>
  <c r="G18" i="4" s="1"/>
  <c r="G19" i="4" s="1"/>
  <c r="G21" i="4" s="1"/>
  <c r="M22" i="4"/>
  <c r="M20" i="4"/>
  <c r="K22" i="4"/>
  <c r="K20" i="4"/>
  <c r="I4" i="3"/>
  <c r="I10" i="3" s="1"/>
  <c r="H11" i="3" s="1"/>
  <c r="H14" i="3" s="1"/>
  <c r="J3" i="3"/>
  <c r="G14" i="3"/>
  <c r="G17" i="3"/>
  <c r="G18" i="3" s="1"/>
  <c r="G19" i="3" s="1"/>
  <c r="G17" i="1"/>
  <c r="G18" i="1" s="1"/>
  <c r="G19" i="1" s="1"/>
  <c r="G14" i="1"/>
  <c r="J3" i="1"/>
  <c r="K19" i="1"/>
  <c r="H17" i="1"/>
  <c r="H18" i="1" s="1"/>
  <c r="H19" i="1" s="1"/>
  <c r="H10" i="1"/>
  <c r="M19" i="1"/>
  <c r="O17" i="1"/>
  <c r="O18" i="1" s="1"/>
  <c r="O19" i="1" s="1"/>
  <c r="P17" i="1"/>
  <c r="P18" i="1" s="1"/>
  <c r="P19" i="1" s="1"/>
  <c r="H11" i="1" l="1"/>
  <c r="H14" i="1" s="1"/>
  <c r="G20" i="4"/>
  <c r="G22" i="4"/>
  <c r="J4" i="4"/>
  <c r="J10" i="4" s="1"/>
  <c r="K3" i="4"/>
  <c r="H11" i="4"/>
  <c r="H14" i="4" s="1"/>
  <c r="G23" i="4"/>
  <c r="G15" i="4"/>
  <c r="J4" i="3"/>
  <c r="J10" i="3" s="1"/>
  <c r="K3" i="3"/>
  <c r="K3" i="1"/>
  <c r="J4" i="1"/>
  <c r="J10" i="1" s="1"/>
  <c r="H23" i="4" l="1"/>
  <c r="H15" i="4"/>
  <c r="I11" i="4"/>
  <c r="I14" i="4" s="1"/>
  <c r="K4" i="4"/>
  <c r="K10" i="4" s="1"/>
  <c r="L3" i="4"/>
  <c r="J11" i="3"/>
  <c r="J14" i="3" s="1"/>
  <c r="I11" i="3"/>
  <c r="I14" i="3" s="1"/>
  <c r="L3" i="3"/>
  <c r="K4" i="3"/>
  <c r="K10" i="3" s="1"/>
  <c r="I11" i="1"/>
  <c r="I14" i="1" s="1"/>
  <c r="L3" i="1"/>
  <c r="K4" i="1"/>
  <c r="K10" i="1" s="1"/>
  <c r="J11" i="1" s="1"/>
  <c r="J14" i="1" s="1"/>
  <c r="M3" i="4" l="1"/>
  <c r="L4" i="4"/>
  <c r="L10" i="4" s="1"/>
  <c r="I23" i="4"/>
  <c r="I15" i="4"/>
  <c r="J11" i="4"/>
  <c r="J14" i="4" s="1"/>
  <c r="K11" i="3"/>
  <c r="K14" i="3" s="1"/>
  <c r="M3" i="3"/>
  <c r="L4" i="3"/>
  <c r="L10" i="3" s="1"/>
  <c r="L4" i="1"/>
  <c r="L10" i="1" s="1"/>
  <c r="M3" i="1"/>
  <c r="J23" i="4" l="1"/>
  <c r="J15" i="4"/>
  <c r="N3" i="4"/>
  <c r="M4" i="4"/>
  <c r="M10" i="4" s="1"/>
  <c r="K11" i="4"/>
  <c r="K14" i="4" s="1"/>
  <c r="N3" i="3"/>
  <c r="M4" i="3"/>
  <c r="M10" i="3" s="1"/>
  <c r="K11" i="1"/>
  <c r="K14" i="1" s="1"/>
  <c r="M4" i="1"/>
  <c r="M10" i="1" s="1"/>
  <c r="L11" i="1" s="1"/>
  <c r="L14" i="1" s="1"/>
  <c r="N3" i="1"/>
  <c r="K15" i="4" l="1"/>
  <c r="K23" i="4"/>
  <c r="O3" i="4"/>
  <c r="N4" i="4"/>
  <c r="N10" i="4" s="1"/>
  <c r="L11" i="4"/>
  <c r="L14" i="4" s="1"/>
  <c r="N4" i="3"/>
  <c r="N10" i="3" s="1"/>
  <c r="O3" i="3"/>
  <c r="L11" i="3"/>
  <c r="L14" i="3" s="1"/>
  <c r="N4" i="1"/>
  <c r="N10" i="1" s="1"/>
  <c r="M11" i="1" s="1"/>
  <c r="M14" i="1" s="1"/>
  <c r="O3" i="1"/>
  <c r="L15" i="4" l="1"/>
  <c r="L23" i="4"/>
  <c r="O4" i="4"/>
  <c r="O10" i="4" s="1"/>
  <c r="P3" i="4"/>
  <c r="P4" i="4" s="1"/>
  <c r="P10" i="4" s="1"/>
  <c r="P11" i="4" s="1"/>
  <c r="P14" i="4" s="1"/>
  <c r="M11" i="4"/>
  <c r="M14" i="4" s="1"/>
  <c r="N11" i="3"/>
  <c r="N14" i="3" s="1"/>
  <c r="M11" i="3"/>
  <c r="M14" i="3" s="1"/>
  <c r="O4" i="3"/>
  <c r="O10" i="3" s="1"/>
  <c r="P3" i="3"/>
  <c r="P4" i="3" s="1"/>
  <c r="P10" i="3" s="1"/>
  <c r="P11" i="3" s="1"/>
  <c r="P14" i="3" s="1"/>
  <c r="P3" i="1"/>
  <c r="P4" i="1" s="1"/>
  <c r="P10" i="1" s="1"/>
  <c r="P11" i="1" s="1"/>
  <c r="P14" i="1" s="1"/>
  <c r="O4" i="1"/>
  <c r="O10" i="1" s="1"/>
  <c r="N11" i="1" s="1"/>
  <c r="N14" i="1" s="1"/>
  <c r="M15" i="4" l="1"/>
  <c r="M23" i="4"/>
  <c r="O11" i="4"/>
  <c r="O14" i="4" s="1"/>
  <c r="P23" i="4"/>
  <c r="P15" i="4"/>
  <c r="N11" i="4"/>
  <c r="N14" i="4" s="1"/>
  <c r="O11" i="3"/>
  <c r="O14" i="3" s="1"/>
  <c r="O11" i="1"/>
  <c r="O14" i="1" s="1"/>
  <c r="N15" i="4" l="1"/>
  <c r="N23" i="4"/>
  <c r="O23" i="4"/>
  <c r="O15" i="4"/>
</calcChain>
</file>

<file path=xl/sharedStrings.xml><?xml version="1.0" encoding="utf-8"?>
<sst xmlns="http://schemas.openxmlformats.org/spreadsheetml/2006/main" count="157" uniqueCount="23">
  <si>
    <t>№</t>
  </si>
  <si>
    <t>x</t>
  </si>
  <si>
    <t>L</t>
  </si>
  <si>
    <t>R</t>
  </si>
  <si>
    <t>dx</t>
  </si>
  <si>
    <t>A</t>
  </si>
  <si>
    <t>U</t>
  </si>
  <si>
    <t>k</t>
  </si>
  <si>
    <t>p</t>
  </si>
  <si>
    <t>ro</t>
  </si>
  <si>
    <t>Cp</t>
  </si>
  <si>
    <t>p*</t>
  </si>
  <si>
    <t>G</t>
  </si>
  <si>
    <t>T*</t>
  </si>
  <si>
    <t>dp</t>
  </si>
  <si>
    <t>n</t>
  </si>
  <si>
    <t xml:space="preserve"> </t>
  </si>
  <si>
    <t>T</t>
  </si>
  <si>
    <t>c</t>
  </si>
  <si>
    <t>M</t>
  </si>
  <si>
    <t>Tau_lam</t>
  </si>
  <si>
    <t>lamda</t>
  </si>
  <si>
    <t>Pi_lamda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</si>
</sst>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NumberFormat="1"/>
    <xf numFmtId="0" fontId="0" fillId="0" borderId="1" xfId="0" applyNumberFormat="1" applyBorder="1"/>
    <xf numFmtId="2" fontId="0" fillId="0" borderId="0" xfId="0" applyNumberFormat="1"/>
    <xf numFmtId="0" fontId="0" fillId="2" borderId="1" xfId="0" applyNumberFormat="1" applyFill="1" applyBorder="1"/>
    <xf numFmtId="164" fontId="0" fillId="0" borderId="1" xfId="0" applyNumberFormat="1" applyBorder="1"/>
    <xf numFmtId="2" fontId="0" fillId="0" borderId="1" xfId="0" applyNumberFormat="1" applyBorder="1"/>
    <xf numFmtId="0" fontId="0" fillId="3" borderId="1" xfId="0" applyNumberFormat="1" applyFill="1" applyBorder="1"/>
    <xf numFmtId="0" fontId="0" fillId="0" borderId="0" xfId="0" applyNumberFormat="1" applyBorder="1"/>
    <xf numFmtId="0" fontId="0" fillId="4" borderId="1" xfId="0" applyFill="1" applyBorder="1"/>
    <xf numFmtId="164" fontId="0" fillId="4" borderId="1" xfId="0" applyNumberFormat="1" applyFill="1" applyBorder="1"/>
    <xf numFmtId="0" fontId="0" fillId="2" borderId="1" xfId="0" applyFill="1" applyBorder="1"/>
    <xf numFmtId="166" fontId="0" fillId="4" borderId="1" xfId="0" applyNumberFormat="1" applyFill="1" applyBorder="1"/>
    <xf numFmtId="0" fontId="0" fillId="3" borderId="1" xfId="0" applyFill="1" applyBorder="1"/>
    <xf numFmtId="2" fontId="0" fillId="4" borderId="1" xfId="0" applyNumberFormat="1" applyFill="1" applyBorder="1"/>
    <xf numFmtId="1" fontId="0" fillId="3" borderId="1" xfId="0" applyNumberFormat="1" applyFill="1" applyBorder="1"/>
    <xf numFmtId="1" fontId="0" fillId="4" borderId="1" xfId="0" applyNumberFormat="1" applyFill="1" applyBorder="1"/>
    <xf numFmtId="165" fontId="0" fillId="4" borderId="1" xfId="0" applyNumberFormat="1" applyFill="1" applyBorder="1"/>
    <xf numFmtId="0" fontId="0" fillId="4" borderId="0" xfId="0" applyFill="1"/>
    <xf numFmtId="0" fontId="0" fillId="0" borderId="0" xfId="0" applyBorder="1"/>
    <xf numFmtId="0" fontId="0" fillId="5" borderId="1" xfId="0" applyNumberFormat="1" applyFill="1" applyBorder="1"/>
    <xf numFmtId="0" fontId="0" fillId="6" borderId="1" xfId="0" applyNumberFormat="1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7" borderId="1" xfId="0" applyNumberForma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microsoft.com/office/2011/relationships/chartStyle" Target="style1.xml"/><Relationship Id="rId2" Type="http://schemas.microsoft.com/office/2011/relationships/chartColorStyle" Target="colors1.xml"/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3" Type="http://schemas.microsoft.com/office/2011/relationships/chartStyle" Target="style2.xml"/><Relationship Id="rId2" Type="http://schemas.microsoft.com/office/2011/relationships/chartColorStyle" Target="colors2.xml"/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3" Type="http://schemas.microsoft.com/office/2011/relationships/chartStyle" Target="style3.xml"/><Relationship Id="rId2" Type="http://schemas.microsoft.com/office/2011/relationships/chartColorStyle" Target="colors3.xml"/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Геометрия канала</a:t>
            </a:r>
          </a:p>
        </c:rich>
      </c:tx>
      <c:layout>
        <c:manualLayout>
          <c:xMode val="edge"/>
          <c:yMode val="edge"/>
          <c:x val="0.31501377952755905"/>
          <c:y val="5.555555555555555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'M=1,5_Const'!$G$2:$Q$2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'M=1,5_Const'!$G$3:$Q$3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4CA-4799-BC10-EBE4080FE6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228480"/>
        <c:axId val="140230016"/>
      </c:scatterChart>
      <c:valAx>
        <c:axId val="140228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0230016"/>
        <c:crosses val="autoZero"/>
        <c:crossBetween val="midCat"/>
      </c:valAx>
      <c:valAx>
        <c:axId val="14023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0228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'M=1,5_Const'!$G$2:$Q$2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'M=1,5_Const'!$G$10:$Q$10</c:f>
              <c:numCache>
                <c:formatCode>0.000</c:formatCode>
                <c:ptCount val="11"/>
                <c:pt idx="0">
                  <c:v>2.5223435708228985</c:v>
                </c:pt>
                <c:pt idx="1">
                  <c:v>2.5223496026086849</c:v>
                </c:pt>
                <c:pt idx="2">
                  <c:v>2.5226860317881932</c:v>
                </c:pt>
                <c:pt idx="3">
                  <c:v>2.5230909301691113</c:v>
                </c:pt>
                <c:pt idx="4">
                  <c:v>2.5235254004713945</c:v>
                </c:pt>
                <c:pt idx="5">
                  <c:v>2.5239481809982309</c:v>
                </c:pt>
                <c:pt idx="6">
                  <c:v>2.5243195059864147</c:v>
                </c:pt>
                <c:pt idx="7" formatCode="0.00">
                  <c:v>2.5246069034723604</c:v>
                </c:pt>
                <c:pt idx="8">
                  <c:v>2.5247926184498874</c:v>
                </c:pt>
                <c:pt idx="9">
                  <c:v>2.5248809916491219</c:v>
                </c:pt>
                <c:pt idx="10">
                  <c:v>2.524901689007585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1B4-402B-A3F9-20D17A30F7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132992"/>
        <c:axId val="152142976"/>
      </c:scatterChart>
      <c:valAx>
        <c:axId val="152132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142976"/>
        <c:crosses val="autoZero"/>
        <c:crossBetween val="midCat"/>
      </c:valAx>
      <c:valAx>
        <c:axId val="15214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132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'M=1,5_Const'!$G$2:$Q$2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'M=1,5_Const'!$G$6:$Q$6</c:f>
              <c:numCache>
                <c:formatCode>General</c:formatCode>
                <c:ptCount val="11"/>
                <c:pt idx="0">
                  <c:v>209359.53686468868</c:v>
                </c:pt>
                <c:pt idx="1">
                  <c:v>207769.63053579841</c:v>
                </c:pt>
                <c:pt idx="2">
                  <c:v>205691.85562529584</c:v>
                </c:pt>
                <c:pt idx="3">
                  <c:v>202938.08308198946</c:v>
                </c:pt>
                <c:pt idx="4">
                  <c:v>199227.10421647321</c:v>
                </c:pt>
                <c:pt idx="5">
                  <c:v>194131.4595915752</c:v>
                </c:pt>
                <c:pt idx="6">
                  <c:v>186983.63613013169</c:v>
                </c:pt>
                <c:pt idx="7">
                  <c:v>176708.72178668866</c:v>
                </c:pt>
                <c:pt idx="8">
                  <c:v>161513.45569328096</c:v>
                </c:pt>
                <c:pt idx="9">
                  <c:v>138280.76688450723</c:v>
                </c:pt>
                <c:pt idx="10">
                  <c:v>101325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002-4D90-AED9-B3C5A7C82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121216"/>
        <c:axId val="140122752"/>
      </c:scatterChart>
      <c:valAx>
        <c:axId val="140121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0122752"/>
        <c:crosses val="autoZero"/>
        <c:crossBetween val="midCat"/>
      </c:valAx>
      <c:valAx>
        <c:axId val="14012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0121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Скорость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marker>
            <c:symbol val="none"/>
          </c:marker>
          <c:xVal>
            <c:numRef>
              <c:f>'M=1,5_Const'!$G$2:$Q$2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'M=1,5_Const'!$G$5:$Q$5</c:f>
              <c:numCache>
                <c:formatCode>General</c:formatCode>
                <c:ptCount val="11"/>
                <c:pt idx="0">
                  <c:v>105.86563520720514</c:v>
                </c:pt>
                <c:pt idx="1">
                  <c:v>117.30292304327129</c:v>
                </c:pt>
                <c:pt idx="2">
                  <c:v>130.71603877302937</c:v>
                </c:pt>
                <c:pt idx="3">
                  <c:v>146.57023820179418</c:v>
                </c:pt>
                <c:pt idx="4">
                  <c:v>165.49260316314749</c:v>
                </c:pt>
                <c:pt idx="5">
                  <c:v>188.32543715902196</c:v>
                </c:pt>
                <c:pt idx="6">
                  <c:v>216.22182911008093</c:v>
                </c:pt>
                <c:pt idx="7">
                  <c:v>250.79481116600556</c:v>
                </c:pt>
                <c:pt idx="8">
                  <c:v>294.35733335747585</c:v>
                </c:pt>
                <c:pt idx="9">
                  <c:v>350.32188824121175</c:v>
                </c:pt>
                <c:pt idx="10">
                  <c:v>423.89299016498575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6DFB-4C0B-92E0-AF06BECC29D0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'M=1,5_Const'!$G$2:$Q$2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'M=1,5_Const'!$G$5:$Q$5</c:f>
              <c:numCache>
                <c:formatCode>General</c:formatCode>
                <c:ptCount val="11"/>
                <c:pt idx="0">
                  <c:v>105.86563520720514</c:v>
                </c:pt>
                <c:pt idx="1">
                  <c:v>117.30292304327129</c:v>
                </c:pt>
                <c:pt idx="2">
                  <c:v>130.71603877302937</c:v>
                </c:pt>
                <c:pt idx="3">
                  <c:v>146.57023820179418</c:v>
                </c:pt>
                <c:pt idx="4">
                  <c:v>165.49260316314749</c:v>
                </c:pt>
                <c:pt idx="5">
                  <c:v>188.32543715902196</c:v>
                </c:pt>
                <c:pt idx="6">
                  <c:v>216.22182911008093</c:v>
                </c:pt>
                <c:pt idx="7">
                  <c:v>250.79481116600556</c:v>
                </c:pt>
                <c:pt idx="8">
                  <c:v>294.35733335747585</c:v>
                </c:pt>
                <c:pt idx="9">
                  <c:v>350.32188824121175</c:v>
                </c:pt>
                <c:pt idx="10">
                  <c:v>423.89299016498575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6DFB-4C0B-92E0-AF06BECC29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541696"/>
        <c:axId val="134543232"/>
      </c:scatterChart>
      <c:valAx>
        <c:axId val="134541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4543232"/>
        <c:crosses val="autoZero"/>
        <c:crossBetween val="midCat"/>
      </c:valAx>
      <c:valAx>
        <c:axId val="13454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4541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'M=1,5_Var'!$G$2:$Q$2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'M=1,5_Var'!$G$3:$Q$3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126-4BE6-994E-FA390C4E87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475008"/>
        <c:axId val="140476800"/>
      </c:scatterChart>
      <c:valAx>
        <c:axId val="140475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0476800"/>
        <c:crosses val="autoZero"/>
        <c:crossBetween val="midCat"/>
      </c:valAx>
      <c:valAx>
        <c:axId val="14047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0475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'M=1,5_Var'!$G$2:$Q$2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'M=1,5_Var'!$G$6:$Q$6</c:f>
              <c:numCache>
                <c:formatCode>General</c:formatCode>
                <c:ptCount val="11"/>
                <c:pt idx="0">
                  <c:v>350867.40735553997</c:v>
                </c:pt>
                <c:pt idx="1">
                  <c:v>349857.56343376642</c:v>
                </c:pt>
                <c:pt idx="2">
                  <c:v>348550.28172794066</c:v>
                </c:pt>
                <c:pt idx="3">
                  <c:v>346791.64149142883</c:v>
                </c:pt>
                <c:pt idx="4">
                  <c:v>344375.92068949185</c:v>
                </c:pt>
                <c:pt idx="5">
                  <c:v>340975.03234884789</c:v>
                </c:pt>
                <c:pt idx="6">
                  <c:v>336041.10751108819</c:v>
                </c:pt>
                <c:pt idx="7">
                  <c:v>328598.86826103256</c:v>
                </c:pt>
                <c:pt idx="8">
                  <c:v>316733.17818914173</c:v>
                </c:pt>
                <c:pt idx="9">
                  <c:v>295951.32816207642</c:v>
                </c:pt>
                <c:pt idx="10">
                  <c:v>101325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03A-4562-89C3-B14679C20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35264"/>
        <c:axId val="218236800"/>
      </c:scatterChart>
      <c:valAx>
        <c:axId val="218235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8236800"/>
        <c:crosses val="autoZero"/>
        <c:crossBetween val="midCat"/>
      </c:valAx>
      <c:valAx>
        <c:axId val="218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8235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'M=1,5_Var'!$G$2:$Q$2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'M=1,5_Var'!$G$10:$Q$10</c:f>
              <c:numCache>
                <c:formatCode>0.000</c:formatCode>
                <c:ptCount val="11"/>
                <c:pt idx="0">
                  <c:v>3.7714546252394219</c:v>
                </c:pt>
                <c:pt idx="1">
                  <c:v>3.7713528467869839</c:v>
                </c:pt>
                <c:pt idx="2">
                  <c:v>3.7658286654815862</c:v>
                </c:pt>
                <c:pt idx="3">
                  <c:v>3.7630111734824023</c:v>
                </c:pt>
                <c:pt idx="4">
                  <c:v>3.7627883031927376</c:v>
                </c:pt>
                <c:pt idx="5">
                  <c:v>3.7648969258226872</c:v>
                </c:pt>
                <c:pt idx="6">
                  <c:v>3.7688820355463615</c:v>
                </c:pt>
                <c:pt idx="7">
                  <c:v>3.7740639491554426</c:v>
                </c:pt>
                <c:pt idx="8">
                  <c:v>3.7795316548935967</c:v>
                </c:pt>
                <c:pt idx="9">
                  <c:v>3.7841929258987133</c:v>
                </c:pt>
                <c:pt idx="10">
                  <c:v>3.7869207620637364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125-4C54-A9E8-39D6C702A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69568"/>
        <c:axId val="218271104"/>
      </c:scatterChart>
      <c:valAx>
        <c:axId val="21826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8271104"/>
        <c:crosses val="autoZero"/>
        <c:crossBetween val="midCat"/>
      </c:valAx>
      <c:valAx>
        <c:axId val="21827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8269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Скорость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'M=1,5_Var'!$G$2:$Q$2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'M=1,5_Var'!$G$5:$Q$5</c:f>
              <c:numCache>
                <c:formatCode>General</c:formatCode>
                <c:ptCount val="11"/>
                <c:pt idx="0">
                  <c:v>44.061773325006357</c:v>
                </c:pt>
                <c:pt idx="1">
                  <c:v>48.92314001739534</c:v>
                </c:pt>
                <c:pt idx="2">
                  <c:v>54.578157622204209</c:v>
                </c:pt>
                <c:pt idx="3">
                  <c:v>61.3676049944319</c:v>
                </c:pt>
                <c:pt idx="4">
                  <c:v>69.628313490775255</c:v>
                </c:pt>
                <c:pt idx="5">
                  <c:v>79.843213821267071</c:v>
                </c:pt>
                <c:pt idx="6">
                  <c:v>92.738828977469382</c:v>
                </c:pt>
                <c:pt idx="7">
                  <c:v>109.48812343151208</c:v>
                </c:pt>
                <c:pt idx="8">
                  <c:v>132.21037500022013</c:v>
                </c:pt>
                <c:pt idx="9">
                  <c:v>165.6106818341492</c:v>
                </c:pt>
                <c:pt idx="10">
                  <c:v>423.94681161813469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AB8-4989-91CD-C380A0ED7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99776"/>
        <c:axId val="218305664"/>
      </c:scatterChart>
      <c:valAx>
        <c:axId val="218299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8305664"/>
        <c:crosses val="autoZero"/>
        <c:crossBetween val="midCat"/>
      </c:valAx>
      <c:valAx>
        <c:axId val="21830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8299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Геометрия канала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Const_p135!$G$2:$Q$2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1C4-4E11-9AC2-CF3D5008AB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428800"/>
        <c:axId val="140430336"/>
      </c:scatterChart>
      <c:valAx>
        <c:axId val="140428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0430336"/>
        <c:crosses val="autoZero"/>
        <c:crossBetween val="midCat"/>
      </c:valAx>
      <c:valAx>
        <c:axId val="14043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0428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Const_p135!$G$2:$Q$2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Const_p135!$G$10:$Q$10</c:f>
              <c:numCache>
                <c:formatCode>0.000</c:formatCode>
                <c:ptCount val="11"/>
                <c:pt idx="0">
                  <c:v>1.3663165238514254</c:v>
                </c:pt>
                <c:pt idx="1">
                  <c:v>1.3663197670643263</c:v>
                </c:pt>
                <c:pt idx="2">
                  <c:v>1.3665020425140293</c:v>
                </c:pt>
                <c:pt idx="3">
                  <c:v>1.3667666214711018</c:v>
                </c:pt>
                <c:pt idx="4">
                  <c:v>1.3670804272061059</c:v>
                </c:pt>
                <c:pt idx="5">
                  <c:v>1.3674069190133782</c:v>
                </c:pt>
                <c:pt idx="6">
                  <c:v>1.3677090959522973</c:v>
                </c:pt>
                <c:pt idx="7" formatCode="0.00">
                  <c:v>1.3679543599839599</c:v>
                </c:pt>
                <c:pt idx="8">
                  <c:v>1.3681211846855306</c:v>
                </c:pt>
                <c:pt idx="9">
                  <c:v>1.3682064201253556</c:v>
                </c:pt>
                <c:pt idx="10">
                  <c:v>1.3682298874393872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9AF-497E-8AD1-4D44B8736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76512"/>
        <c:axId val="218186496"/>
      </c:scatterChart>
      <c:valAx>
        <c:axId val="218176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8186496"/>
        <c:crosses val="autoZero"/>
        <c:crossBetween val="midCat"/>
      </c:valAx>
      <c:valAx>
        <c:axId val="21818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8176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Const_p135!$G$2:$Q$2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Const_p135!$G$6:$Q$6</c:f>
              <c:numCache>
                <c:formatCode>General</c:formatCode>
                <c:ptCount val="11"/>
                <c:pt idx="0">
                  <c:v>133051.53526306202</c:v>
                </c:pt>
                <c:pt idx="1">
                  <c:v>132585.0204570019</c:v>
                </c:pt>
                <c:pt idx="2">
                  <c:v>131975.35096062184</c:v>
                </c:pt>
                <c:pt idx="3">
                  <c:v>131167.04864642158</c:v>
                </c:pt>
                <c:pt idx="4">
                  <c:v>130077.46773118924</c:v>
                </c:pt>
                <c:pt idx="5">
                  <c:v>128581.01478432902</c:v>
                </c:pt>
                <c:pt idx="6">
                  <c:v>126481.62501993927</c:v>
                </c:pt>
                <c:pt idx="7">
                  <c:v>123463.65894101333</c:v>
                </c:pt>
                <c:pt idx="8">
                  <c:v>119000.64254371547</c:v>
                </c:pt>
                <c:pt idx="9">
                  <c:v>112177.50864414575</c:v>
                </c:pt>
                <c:pt idx="10">
                  <c:v>101325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758-49DE-93E3-454D1F1C9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19264"/>
        <c:axId val="218220800"/>
      </c:scatterChart>
      <c:valAx>
        <c:axId val="218219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8220800"/>
        <c:crosses val="autoZero"/>
        <c:crossBetween val="midCat"/>
      </c:valAx>
      <c:valAx>
        <c:axId val="21822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8219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Скорость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Const_p135!$G$2:$Q$2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Const_p135!$G$5:$Q$5</c:f>
              <c:numCache>
                <c:formatCode>General</c:formatCode>
                <c:ptCount val="11"/>
                <c:pt idx="0">
                  <c:v>57.345863662693617</c:v>
                </c:pt>
                <c:pt idx="1">
                  <c:v>63.541273244471491</c:v>
                </c:pt>
                <c:pt idx="2">
                  <c:v>70.806929022965377</c:v>
                </c:pt>
                <c:pt idx="3">
                  <c:v>79.397519650294129</c:v>
                </c:pt>
                <c:pt idx="4">
                  <c:v>89.652956402094503</c:v>
                </c:pt>
                <c:pt idx="5">
                  <c:v>102.02955520689169</c:v>
                </c:pt>
                <c:pt idx="6">
                  <c:v>117.15172537059544</c:v>
                </c:pt>
                <c:pt idx="7">
                  <c:v>135.8927282316663</c:v>
                </c:pt>
                <c:pt idx="8">
                  <c:v>159.50475198776715</c:v>
                </c:pt>
                <c:pt idx="9">
                  <c:v>189.83572747710332</c:v>
                </c:pt>
                <c:pt idx="10">
                  <c:v>229.70519916278516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C0D-412D-A349-17B18A438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40704"/>
        <c:axId val="219254784"/>
      </c:scatterChart>
      <c:valAx>
        <c:axId val="219240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254784"/>
        <c:crosses val="autoZero"/>
        <c:crossBetween val="midCat"/>
      </c:valAx>
      <c:valAx>
        <c:axId val="219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240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Геометри канала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Var_p135!$G$2:$Q$2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Var_p135!$G$3:$Q$3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53A-4437-A11B-3C0941A54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341184"/>
        <c:axId val="219342720"/>
      </c:scatterChart>
      <c:valAx>
        <c:axId val="21934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342720"/>
        <c:crosses val="autoZero"/>
        <c:crossBetween val="midCat"/>
      </c:valAx>
      <c:valAx>
        <c:axId val="219342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341184"/>
        <c:crosses val="autoZero"/>
        <c:crossBetween val="midCat"/>
      </c:valAx>
      <c:spPr>
        <a:noFill/>
        <a:ln cap="rnd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Var_p135!$G$2:$Q$2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Var_p135!$G$10:$Q$10</c:f>
              <c:numCache>
                <c:formatCode>0.000</c:formatCode>
                <c:ptCount val="11"/>
                <c:pt idx="0">
                  <c:v>1.3682003292675637</c:v>
                </c:pt>
                <c:pt idx="1">
                  <c:v>1.3682003212908143</c:v>
                </c:pt>
                <c:pt idx="2">
                  <c:v>1.3681998800635657</c:v>
                </c:pt>
                <c:pt idx="3">
                  <c:v>1.3681993824704664</c:v>
                </c:pt>
                <c:pt idx="4">
                  <c:v>1.3681988575771811</c:v>
                </c:pt>
                <c:pt idx="5">
                  <c:v>1.3681983387589283</c:v>
                </c:pt>
                <c:pt idx="6">
                  <c:v>1.3681978620777049</c:v>
                </c:pt>
                <c:pt idx="7">
                  <c:v>1.3681974630379561</c:v>
                </c:pt>
                <c:pt idx="8">
                  <c:v>1.3681971710606182</c:v>
                </c:pt>
                <c:pt idx="9">
                  <c:v>1.3681970011131772</c:v>
                </c:pt>
                <c:pt idx="10">
                  <c:v>1.3681969423888067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8D5-48D0-AC2D-1B9AFDE2B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355008"/>
        <c:axId val="219356544"/>
      </c:scatterChart>
      <c:valAx>
        <c:axId val="219355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356544"/>
        <c:crosses val="autoZero"/>
        <c:crossBetween val="midCat"/>
      </c:valAx>
      <c:valAx>
        <c:axId val="21935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355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Var_p135!$G$2:$Q$2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Var_p135!$G$6:$Q$6</c:f>
              <c:numCache>
                <c:formatCode>General</c:formatCode>
                <c:ptCount val="11"/>
                <c:pt idx="0">
                  <c:v>133570.95680426728</c:v>
                </c:pt>
                <c:pt idx="1">
                  <c:v>133222.1433192009</c:v>
                </c:pt>
                <c:pt idx="2">
                  <c:v>132763.8393956658</c:v>
                </c:pt>
                <c:pt idx="3">
                  <c:v>132151.1756941507</c:v>
                </c:pt>
                <c:pt idx="4">
                  <c:v>131315.51465663401</c:v>
                </c:pt>
                <c:pt idx="5">
                  <c:v>130148.06698347302</c:v>
                </c:pt>
                <c:pt idx="6">
                  <c:v>128468.45776070279</c:v>
                </c:pt>
                <c:pt idx="7">
                  <c:v>125958.94302371657</c:v>
                </c:pt>
                <c:pt idx="8">
                  <c:v>122007.74724965771</c:v>
                </c:pt>
                <c:pt idx="9">
                  <c:v>115244.93139258264</c:v>
                </c:pt>
                <c:pt idx="10">
                  <c:v>101325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6EB-4C29-A311-D2574479E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480064"/>
        <c:axId val="219481600"/>
      </c:scatterChart>
      <c:valAx>
        <c:axId val="219480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481600"/>
        <c:crosses val="autoZero"/>
        <c:crossBetween val="midCat"/>
      </c:valAx>
      <c:valAx>
        <c:axId val="21948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480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Скорость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Var_p135!$G$2:$Q$2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Var_p135!$G$5:$Q$5</c:f>
              <c:numCache>
                <c:formatCode>General</c:formatCode>
                <c:ptCount val="11"/>
                <c:pt idx="0">
                  <c:v>42.000601074920588</c:v>
                </c:pt>
                <c:pt idx="1">
                  <c:v>46.626761446180375</c:v>
                </c:pt>
                <c:pt idx="2">
                  <c:v>52.082065218442388</c:v>
                </c:pt>
                <c:pt idx="3">
                  <c:v>58.586963340577647</c:v>
                </c:pt>
                <c:pt idx="4">
                  <c:v>66.446388530669395</c:v>
                </c:pt>
                <c:pt idx="5">
                  <c:v>76.096687409842389</c:v>
                </c:pt>
                <c:pt idx="6">
                  <c:v>88.191114129928906</c:v>
                </c:pt>
                <c:pt idx="7">
                  <c:v>103.77219350930196</c:v>
                </c:pt>
                <c:pt idx="8">
                  <c:v>124.67536642759829</c:v>
                </c:pt>
                <c:pt idx="9">
                  <c:v>154.73849371398734</c:v>
                </c:pt>
                <c:pt idx="10">
                  <c:v>205.8782124382524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822-43DE-9C3D-0865B5632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502080"/>
        <c:axId val="219503616"/>
      </c:scatterChart>
      <c:valAx>
        <c:axId val="219502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503616"/>
        <c:crosses val="autoZero"/>
        <c:crossBetween val="midCat"/>
      </c:valAx>
      <c:valAx>
        <c:axId val="21950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502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Геометрия</a:t>
            </a:r>
            <a:r>
              <a:rPr lang="ru-RU" baseline="0"/>
              <a:t> канала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Const_p105!$G$3:$Q$3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E8B-466E-8A2A-0E3639C7C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541504"/>
        <c:axId val="219543040"/>
      </c:scatterChart>
      <c:valAx>
        <c:axId val="21954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543040"/>
        <c:crosses val="autoZero"/>
        <c:crossBetween val="midCat"/>
      </c:valAx>
      <c:valAx>
        <c:axId val="219543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54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Const_p105!$G$10:$Q$10</c:f>
              <c:numCache>
                <c:formatCode>0.000</c:formatCode>
                <c:ptCount val="11"/>
                <c:pt idx="0">
                  <c:v>0.45201084371136407</c:v>
                </c:pt>
                <c:pt idx="1">
                  <c:v>0.45201084248514894</c:v>
                </c:pt>
                <c:pt idx="2">
                  <c:v>0.45201077485286445</c:v>
                </c:pt>
                <c:pt idx="3">
                  <c:v>0.45201071834618689</c:v>
                </c:pt>
                <c:pt idx="4">
                  <c:v>0.45201067414804225</c:v>
                </c:pt>
                <c:pt idx="5">
                  <c:v>0.4520106427333081</c:v>
                </c:pt>
                <c:pt idx="6">
                  <c:v>0.45201062359753369</c:v>
                </c:pt>
                <c:pt idx="7">
                  <c:v>0.45201061503429235</c:v>
                </c:pt>
                <c:pt idx="8">
                  <c:v>0.45201061408601589</c:v>
                </c:pt>
                <c:pt idx="9">
                  <c:v>0.45201061686254995</c:v>
                </c:pt>
                <c:pt idx="10">
                  <c:v>0.4520106194487214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9E0-4EF7-B275-AE27027D1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046848"/>
        <c:axId val="220048384"/>
      </c:scatterChart>
      <c:valAx>
        <c:axId val="220046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0048384"/>
        <c:crosses val="autoZero"/>
        <c:crossBetween val="midCat"/>
      </c:valAx>
      <c:valAx>
        <c:axId val="22004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0046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Const_p105!$G$6:$Q$6</c:f>
              <c:numCache>
                <c:formatCode>General</c:formatCode>
                <c:ptCount val="11"/>
                <c:pt idx="0">
                  <c:v>104786.74969044352</c:v>
                </c:pt>
                <c:pt idx="1">
                  <c:v>104735.69568468926</c:v>
                </c:pt>
                <c:pt idx="2">
                  <c:v>104669.06973257133</c:v>
                </c:pt>
                <c:pt idx="3">
                  <c:v>104580.80925100141</c:v>
                </c:pt>
                <c:pt idx="4">
                  <c:v>104461.9110868548</c:v>
                </c:pt>
                <c:pt idx="5">
                  <c:v>104298.68268516126</c:v>
                </c:pt>
                <c:pt idx="6">
                  <c:v>104069.73174391234</c:v>
                </c:pt>
                <c:pt idx="7">
                  <c:v>103740.59722115673</c:v>
                </c:pt>
                <c:pt idx="8">
                  <c:v>103253.77822206651</c:v>
                </c:pt>
                <c:pt idx="9">
                  <c:v>102509.33114784503</c:v>
                </c:pt>
                <c:pt idx="10">
                  <c:v>101325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09E-47E4-A201-A9800C630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060672"/>
        <c:axId val="219570944"/>
      </c:scatterChart>
      <c:valAx>
        <c:axId val="220060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570944"/>
        <c:crosses val="autoZero"/>
        <c:crossBetween val="midCat"/>
      </c:valAx>
      <c:valAx>
        <c:axId val="21957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0060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Скорость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Const_p105!$G$5:$Q$5</c:f>
              <c:numCache>
                <c:formatCode>General</c:formatCode>
                <c:ptCount val="11"/>
                <c:pt idx="0">
                  <c:v>18.971455776311203</c:v>
                </c:pt>
                <c:pt idx="1">
                  <c:v>21.02100357299863</c:v>
                </c:pt>
                <c:pt idx="2">
                  <c:v>23.421546758241181</c:v>
                </c:pt>
                <c:pt idx="3">
                  <c:v>26.258062964201336</c:v>
                </c:pt>
                <c:pt idx="4">
                  <c:v>29.64288847989371</c:v>
                </c:pt>
                <c:pt idx="5">
                  <c:v>33.727017423980747</c:v>
                </c:pt>
                <c:pt idx="6">
                  <c:v>38.717237739351916</c:v>
                </c:pt>
                <c:pt idx="7">
                  <c:v>44.902831075546345</c:v>
                </c:pt>
                <c:pt idx="8">
                  <c:v>52.69846135557016</c:v>
                </c:pt>
                <c:pt idx="9">
                  <c:v>62.715524642010273</c:v>
                </c:pt>
                <c:pt idx="10">
                  <c:v>75.88578525174664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2BE-4271-A87A-0FDFDEF6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603712"/>
        <c:axId val="219605248"/>
      </c:scatterChart>
      <c:valAx>
        <c:axId val="219603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605248"/>
        <c:crosses val="autoZero"/>
        <c:crossBetween val="midCat"/>
      </c:valAx>
      <c:valAx>
        <c:axId val="21960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603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Геометрия</a:t>
            </a:r>
            <a:r>
              <a:rPr lang="ru-RU" baseline="0"/>
              <a:t> канала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Var_p105!$G$2:$Q$2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Var_p105!$G$3:$Q$3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0FA-41B2-AE1D-6057B06D1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622400"/>
        <c:axId val="219632384"/>
      </c:scatterChart>
      <c:valAx>
        <c:axId val="219622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632384"/>
        <c:crosses val="autoZero"/>
        <c:crossBetween val="midCat"/>
      </c:valAx>
      <c:valAx>
        <c:axId val="21963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622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Var_p105!$G$2:$Q$2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Var_p105!$G$10:$Q$10</c:f>
              <c:numCache>
                <c:formatCode>0.000</c:formatCode>
                <c:ptCount val="11"/>
                <c:pt idx="0">
                  <c:v>0.45802108266294694</c:v>
                </c:pt>
                <c:pt idx="1">
                  <c:v>0.45802205274429714</c:v>
                </c:pt>
                <c:pt idx="2">
                  <c:v>0.45807673534866261</c:v>
                </c:pt>
                <c:pt idx="3">
                  <c:v>0.45816340495744534</c:v>
                </c:pt>
                <c:pt idx="4">
                  <c:v>0.45827075232910464</c:v>
                </c:pt>
                <c:pt idx="5">
                  <c:v>0.45838593888599438</c:v>
                </c:pt>
                <c:pt idx="6">
                  <c:v>0.45849551753028378</c:v>
                </c:pt>
                <c:pt idx="7">
                  <c:v>0.45858704157640262</c:v>
                </c:pt>
                <c:pt idx="8">
                  <c:v>0.4586514358057997</c:v>
                </c:pt>
                <c:pt idx="9">
                  <c:v>0.45868587055653737</c:v>
                </c:pt>
                <c:pt idx="10">
                  <c:v>0.4586961256338285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C56-4B7C-9F22-73B67506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656576"/>
        <c:axId val="219658112"/>
      </c:scatterChart>
      <c:valAx>
        <c:axId val="219656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658112"/>
        <c:crosses val="autoZero"/>
        <c:crossBetween val="midCat"/>
      </c:valAx>
      <c:valAx>
        <c:axId val="21965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656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Var_p105!$G$2:$Q$2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Var_p105!$G$6:$Q$6</c:f>
              <c:numCache>
                <c:formatCode>General</c:formatCode>
                <c:ptCount val="11"/>
                <c:pt idx="0">
                  <c:v>104795.37046284738</c:v>
                </c:pt>
                <c:pt idx="1">
                  <c:v>104746.20531791639</c:v>
                </c:pt>
                <c:pt idx="2">
                  <c:v>104681.8857714749</c:v>
                </c:pt>
                <c:pt idx="3">
                  <c:v>104596.46859521579</c:v>
                </c:pt>
                <c:pt idx="4">
                  <c:v>104481.07197642179</c:v>
                </c:pt>
                <c:pt idx="5">
                  <c:v>104322.10705669131</c:v>
                </c:pt>
                <c:pt idx="6">
                  <c:v>104098.16192725667</c:v>
                </c:pt>
                <c:pt idx="7">
                  <c:v>103774.30941407706</c:v>
                </c:pt>
                <c:pt idx="8">
                  <c:v>103291.16099902632</c:v>
                </c:pt>
                <c:pt idx="9">
                  <c:v>102542.43320918738</c:v>
                </c:pt>
                <c:pt idx="10">
                  <c:v>101325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57A-4278-8A40-A70E45A00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764608"/>
        <c:axId val="219766144"/>
      </c:scatterChart>
      <c:valAx>
        <c:axId val="219764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766144"/>
        <c:crosses val="autoZero"/>
        <c:crossBetween val="midCat"/>
      </c:valAx>
      <c:valAx>
        <c:axId val="21976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764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Скорость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Var_p105!$G$2:$Q$2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Var_p105!$G$5:$Q$5</c:f>
              <c:numCache>
                <c:formatCode>General</c:formatCode>
                <c:ptCount val="11"/>
                <c:pt idx="0">
                  <c:v>17.965677749011054</c:v>
                </c:pt>
                <c:pt idx="1">
                  <c:v>19.913413805299584</c:v>
                </c:pt>
                <c:pt idx="2">
                  <c:v>22.200045404994878</c:v>
                </c:pt>
                <c:pt idx="3">
                  <c:v>24.90816735873263</c:v>
                </c:pt>
                <c:pt idx="4">
                  <c:v>28.148271200498691</c:v>
                </c:pt>
                <c:pt idx="5">
                  <c:v>32.070248179569305</c:v>
                </c:pt>
                <c:pt idx="6">
                  <c:v>36.882190050039029</c:v>
                </c:pt>
                <c:pt idx="7">
                  <c:v>42.881135090875794</c:v>
                </c:pt>
                <c:pt idx="8">
                  <c:v>50.505904672857866</c:v>
                </c:pt>
                <c:pt idx="9">
                  <c:v>60.433923409349447</c:v>
                </c:pt>
                <c:pt idx="10">
                  <c:v>73.774957760448117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B0A-435F-B376-A837CE017F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774336"/>
        <c:axId val="219686016"/>
      </c:scatterChart>
      <c:valAx>
        <c:axId val="219774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686016"/>
        <c:crosses val="autoZero"/>
        <c:crossBetween val="midCat"/>
      </c:valAx>
      <c:valAx>
        <c:axId val="21968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9774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15240</xdr:rowOff>
        </xdr:from>
        <xdr:to>
          <xdr:col>2</xdr:col>
          <xdr:colOff>594360</xdr:colOff>
          <xdr:row>17</xdr:row>
          <xdr:rowOff>22860</xdr:rowOff>
        </xdr:to>
        <xdr:sp macro="" textlink="">
          <xdr:nvSpPr>
            <xdr:cNvPr id="1025" name="Расчет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21</xdr:row>
      <xdr:rowOff>107950</xdr:rowOff>
    </xdr:from>
    <xdr:to>
      <xdr:col>8</xdr:col>
      <xdr:colOff>304800</xdr:colOff>
      <xdr:row>37</xdr:row>
      <xdr:rowOff>6350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21</xdr:row>
      <xdr:rowOff>107950</xdr:rowOff>
    </xdr:from>
    <xdr:to>
      <xdr:col>16</xdr:col>
      <xdr:colOff>304800</xdr:colOff>
      <xdr:row>37</xdr:row>
      <xdr:rowOff>6350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38</xdr:row>
      <xdr:rowOff>120650</xdr:rowOff>
    </xdr:from>
    <xdr:to>
      <xdr:col>8</xdr:col>
      <xdr:colOff>304800</xdr:colOff>
      <xdr:row>54</xdr:row>
      <xdr:rowOff>19050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12700</xdr:colOff>
      <xdr:row>38</xdr:row>
      <xdr:rowOff>107950</xdr:rowOff>
    </xdr:from>
    <xdr:to>
      <xdr:col>16</xdr:col>
      <xdr:colOff>317500</xdr:colOff>
      <xdr:row>54</xdr:row>
      <xdr:rowOff>6350</xdr:rowOff>
    </xdr:to>
    <xdr:graphicFrame macro="">
      <xdr:nvGraphicFramePr>
        <xdr:cNvPr id="9" name="Диаграмма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0.11068</cdr:x>
      <cdr:y>0.1089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506012" cy="29873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0.90799</cdr:x>
      <cdr:y>0.8911</cdr:y>
    </cdr:from>
    <cdr:to>
      <cdr:x>1</cdr:x>
      <cdr:y>1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4151340" y="2444470"/>
          <a:ext cx="420660" cy="2987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0.00833</cdr:x>
      <cdr:y>0.01852</cdr:y>
    </cdr:from>
    <cdr:to>
      <cdr:x>0.14968</cdr:x>
      <cdr:y>0.12742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38100" y="50800"/>
          <a:ext cx="646232" cy="29873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0.90799</cdr:x>
      <cdr:y>0.8911</cdr:y>
    </cdr:from>
    <cdr:to>
      <cdr:x>1</cdr:x>
      <cdr:y>1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4151340" y="2444470"/>
          <a:ext cx="420660" cy="2987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</cdr:pic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0.90799</cdr:x>
      <cdr:y>0.8911</cdr:y>
    </cdr:from>
    <cdr:to>
      <cdr:x>1</cdr:x>
      <cdr:y>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151340" y="2444470"/>
          <a:ext cx="420660" cy="2987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</cdr:pic>
  </cdr:relSizeAnchor>
  <cdr:relSizeAnchor xmlns:cdr="http://schemas.openxmlformats.org/drawingml/2006/chartDrawing">
    <cdr:from>
      <cdr:x>0.01111</cdr:x>
      <cdr:y>0.01852</cdr:y>
    </cdr:from>
    <cdr:to>
      <cdr:x>0.1703</cdr:x>
      <cdr:y>0.13555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50800" y="50800"/>
          <a:ext cx="727803" cy="3210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p, [Pa]</a:t>
          </a:r>
          <a:endParaRPr lang="ru-RU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0.12268</cdr:x>
      <cdr:y>0.1089</cdr:y>
    </cdr:to>
    <cdr:pic>
      <cdr:nvPicPr>
        <cdr:cNvPr id="10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560881" cy="29873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0.90799</cdr:x>
      <cdr:y>0.8911</cdr:y>
    </cdr:from>
    <cdr:to>
      <cdr:x>1</cdr:x>
      <cdr:y>1</cdr:y>
    </cdr:to>
    <cdr:pic>
      <cdr:nvPicPr>
        <cdr:cNvPr id="11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4151340" y="2444470"/>
          <a:ext cx="420660" cy="2987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</cdr:pic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15</xdr:row>
          <xdr:rowOff>30480</xdr:rowOff>
        </xdr:from>
        <xdr:to>
          <xdr:col>3</xdr:col>
          <xdr:colOff>601980</xdr:colOff>
          <xdr:row>18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26</xdr:row>
      <xdr:rowOff>38099</xdr:rowOff>
    </xdr:from>
    <xdr:to>
      <xdr:col>8</xdr:col>
      <xdr:colOff>304800</xdr:colOff>
      <xdr:row>41</xdr:row>
      <xdr:rowOff>5442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26</xdr:row>
      <xdr:rowOff>48986</xdr:rowOff>
    </xdr:from>
    <xdr:to>
      <xdr:col>16</xdr:col>
      <xdr:colOff>304800</xdr:colOff>
      <xdr:row>41</xdr:row>
      <xdr:rowOff>16329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10885</xdr:colOff>
      <xdr:row>42</xdr:row>
      <xdr:rowOff>16329</xdr:rowOff>
    </xdr:from>
    <xdr:to>
      <xdr:col>8</xdr:col>
      <xdr:colOff>315685</xdr:colOff>
      <xdr:row>56</xdr:row>
      <xdr:rowOff>168729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10885</xdr:colOff>
      <xdr:row>41</xdr:row>
      <xdr:rowOff>179615</xdr:rowOff>
    </xdr:from>
    <xdr:to>
      <xdr:col>16</xdr:col>
      <xdr:colOff>315685</xdr:colOff>
      <xdr:row>56</xdr:row>
      <xdr:rowOff>146958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175260</xdr:rowOff>
        </xdr:from>
        <xdr:to>
          <xdr:col>4</xdr:col>
          <xdr:colOff>15240</xdr:colOff>
          <xdr:row>18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22</xdr:row>
      <xdr:rowOff>27215</xdr:rowOff>
    </xdr:from>
    <xdr:to>
      <xdr:col>8</xdr:col>
      <xdr:colOff>304800</xdr:colOff>
      <xdr:row>36</xdr:row>
      <xdr:rowOff>179615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22</xdr:row>
      <xdr:rowOff>38101</xdr:rowOff>
    </xdr:from>
    <xdr:to>
      <xdr:col>16</xdr:col>
      <xdr:colOff>304800</xdr:colOff>
      <xdr:row>37</xdr:row>
      <xdr:rowOff>5444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10886</xdr:colOff>
      <xdr:row>37</xdr:row>
      <xdr:rowOff>179615</xdr:rowOff>
    </xdr:from>
    <xdr:to>
      <xdr:col>8</xdr:col>
      <xdr:colOff>315686</xdr:colOff>
      <xdr:row>52</xdr:row>
      <xdr:rowOff>146958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38</xdr:row>
      <xdr:rowOff>5443</xdr:rowOff>
    </xdr:from>
    <xdr:to>
      <xdr:col>16</xdr:col>
      <xdr:colOff>304800</xdr:colOff>
      <xdr:row>52</xdr:row>
      <xdr:rowOff>157843</xdr:rowOff>
    </xdr:to>
    <xdr:graphicFrame macro="">
      <xdr:nvGraphicFramePr>
        <xdr:cNvPr id="10" name="Диаграмма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15</xdr:row>
          <xdr:rowOff>7620</xdr:rowOff>
        </xdr:from>
        <xdr:to>
          <xdr:col>4</xdr:col>
          <xdr:colOff>15240</xdr:colOff>
          <xdr:row>19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594360</xdr:colOff>
      <xdr:row>24</xdr:row>
      <xdr:rowOff>175260</xdr:rowOff>
    </xdr:from>
    <xdr:to>
      <xdr:col>8</xdr:col>
      <xdr:colOff>289560</xdr:colOff>
      <xdr:row>39</xdr:row>
      <xdr:rowOff>175260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24</xdr:row>
      <xdr:rowOff>175260</xdr:rowOff>
    </xdr:from>
    <xdr:to>
      <xdr:col>16</xdr:col>
      <xdr:colOff>304800</xdr:colOff>
      <xdr:row>39</xdr:row>
      <xdr:rowOff>175260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594360</xdr:colOff>
      <xdr:row>42</xdr:row>
      <xdr:rowOff>7620</xdr:rowOff>
    </xdr:from>
    <xdr:to>
      <xdr:col>8</xdr:col>
      <xdr:colOff>289560</xdr:colOff>
      <xdr:row>57</xdr:row>
      <xdr:rowOff>7620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15240</xdr:colOff>
      <xdr:row>41</xdr:row>
      <xdr:rowOff>175260</xdr:rowOff>
    </xdr:from>
    <xdr:to>
      <xdr:col>16</xdr:col>
      <xdr:colOff>320040</xdr:colOff>
      <xdr:row>56</xdr:row>
      <xdr:rowOff>175260</xdr:rowOff>
    </xdr:to>
    <xdr:graphicFrame macro="">
      <xdr:nvGraphicFramePr>
        <xdr:cNvPr id="9" name="Диаграмма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586740</xdr:colOff>
          <xdr:row>15</xdr:row>
          <xdr:rowOff>22860</xdr:rowOff>
        </xdr:from>
        <xdr:to>
          <xdr:col>4</xdr:col>
          <xdr:colOff>0</xdr:colOff>
          <xdr:row>18</xdr:row>
          <xdr:rowOff>175260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19</xdr:row>
      <xdr:rowOff>175260</xdr:rowOff>
    </xdr:from>
    <xdr:to>
      <xdr:col>8</xdr:col>
      <xdr:colOff>304800</xdr:colOff>
      <xdr:row>34</xdr:row>
      <xdr:rowOff>175260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594360</xdr:colOff>
      <xdr:row>20</xdr:row>
      <xdr:rowOff>7620</xdr:rowOff>
    </xdr:from>
    <xdr:to>
      <xdr:col>16</xdr:col>
      <xdr:colOff>289560</xdr:colOff>
      <xdr:row>35</xdr:row>
      <xdr:rowOff>7620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594360</xdr:colOff>
      <xdr:row>36</xdr:row>
      <xdr:rowOff>7620</xdr:rowOff>
    </xdr:from>
    <xdr:to>
      <xdr:col>8</xdr:col>
      <xdr:colOff>289560</xdr:colOff>
      <xdr:row>51</xdr:row>
      <xdr:rowOff>7620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35</xdr:row>
      <xdr:rowOff>129540</xdr:rowOff>
    </xdr:from>
    <xdr:to>
      <xdr:col>16</xdr:col>
      <xdr:colOff>304800</xdr:colOff>
      <xdr:row>50</xdr:row>
      <xdr:rowOff>129540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15</xdr:row>
          <xdr:rowOff>167640</xdr:rowOff>
        </xdr:from>
        <xdr:to>
          <xdr:col>4</xdr:col>
          <xdr:colOff>15240</xdr:colOff>
          <xdr:row>19</xdr:row>
          <xdr:rowOff>167640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12700</xdr:colOff>
      <xdr:row>24</xdr:row>
      <xdr:rowOff>171450</xdr:rowOff>
    </xdr:from>
    <xdr:to>
      <xdr:col>8</xdr:col>
      <xdr:colOff>317500</xdr:colOff>
      <xdr:row>40</xdr:row>
      <xdr:rowOff>69850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24</xdr:row>
      <xdr:rowOff>158750</xdr:rowOff>
    </xdr:from>
    <xdr:to>
      <xdr:col>16</xdr:col>
      <xdr:colOff>304800</xdr:colOff>
      <xdr:row>40</xdr:row>
      <xdr:rowOff>57150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41</xdr:row>
      <xdr:rowOff>171450</xdr:rowOff>
    </xdr:from>
    <xdr:to>
      <xdr:col>8</xdr:col>
      <xdr:colOff>304800</xdr:colOff>
      <xdr:row>57</xdr:row>
      <xdr:rowOff>69850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12700</xdr:colOff>
      <xdr:row>42</xdr:row>
      <xdr:rowOff>6350</xdr:rowOff>
    </xdr:from>
    <xdr:to>
      <xdr:col>16</xdr:col>
      <xdr:colOff>317500</xdr:colOff>
      <xdr:row>57</xdr:row>
      <xdr:rowOff>82550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W55"/>
  <sheetViews>
    <sheetView tabSelected="1" topLeftCell="A10" zoomScale="60" zoomScaleNormal="60" workbookViewId="0">
      <selection activeCell="V43" sqref="V43"/>
    </sheetView>
  </sheetViews>
  <sheetFormatPr defaultRowHeight="14.4" x14ac:dyDescent="0.3"/>
  <sheetData>
    <row r="1" spans="1:23" x14ac:dyDescent="0.3">
      <c r="A1" s="1"/>
      <c r="B1" s="1"/>
      <c r="C1" s="1"/>
      <c r="D1" s="1"/>
      <c r="E1" s="1"/>
      <c r="F1" s="2" t="s">
        <v>0</v>
      </c>
      <c r="G1" s="2">
        <v>1</v>
      </c>
      <c r="H1" s="2">
        <v>2</v>
      </c>
      <c r="I1" s="2">
        <v>3</v>
      </c>
      <c r="J1" s="2">
        <v>4</v>
      </c>
      <c r="K1" s="2">
        <v>5</v>
      </c>
      <c r="L1" s="2">
        <v>6</v>
      </c>
      <c r="M1" s="2">
        <v>7</v>
      </c>
      <c r="N1" s="2">
        <v>8</v>
      </c>
      <c r="O1" s="2">
        <v>9</v>
      </c>
      <c r="P1" s="2">
        <v>10</v>
      </c>
      <c r="Q1" s="2">
        <v>11</v>
      </c>
      <c r="R1" s="1"/>
      <c r="S1" s="1"/>
      <c r="T1" s="3"/>
      <c r="U1" s="3"/>
      <c r="V1" s="3"/>
      <c r="W1" s="3"/>
    </row>
    <row r="2" spans="1:23" x14ac:dyDescent="0.3">
      <c r="A2" s="1"/>
      <c r="B2" s="1"/>
      <c r="C2" s="1"/>
      <c r="D2" s="1"/>
      <c r="E2" s="1"/>
      <c r="F2" s="2" t="s">
        <v>1</v>
      </c>
      <c r="G2" s="2">
        <v>0</v>
      </c>
      <c r="H2" s="2">
        <f>G2+$C$4</f>
        <v>0.01</v>
      </c>
      <c r="I2" s="2">
        <f t="shared" ref="I2:Q2" si="0">H2+$C$4</f>
        <v>0.02</v>
      </c>
      <c r="J2" s="2">
        <f t="shared" si="0"/>
        <v>0.03</v>
      </c>
      <c r="K2" s="2">
        <f t="shared" si="0"/>
        <v>0.04</v>
      </c>
      <c r="L2" s="2">
        <f t="shared" si="0"/>
        <v>0.05</v>
      </c>
      <c r="M2" s="2">
        <f t="shared" si="0"/>
        <v>6.0000000000000005E-2</v>
      </c>
      <c r="N2" s="2">
        <f t="shared" si="0"/>
        <v>7.0000000000000007E-2</v>
      </c>
      <c r="O2" s="2">
        <f t="shared" si="0"/>
        <v>0.08</v>
      </c>
      <c r="P2" s="2">
        <f t="shared" si="0"/>
        <v>0.09</v>
      </c>
      <c r="Q2" s="2">
        <f t="shared" si="0"/>
        <v>9.9999999999999992E-2</v>
      </c>
      <c r="R2" s="1"/>
      <c r="S2" s="1"/>
      <c r="T2" s="3"/>
      <c r="U2" s="3"/>
      <c r="V2" s="3"/>
      <c r="W2" s="3"/>
    </row>
    <row r="3" spans="1:23" x14ac:dyDescent="0.3">
      <c r="A3" s="1"/>
      <c r="B3" s="2" t="s">
        <v>2</v>
      </c>
      <c r="C3" s="2">
        <v>0.1</v>
      </c>
      <c r="D3" s="1"/>
      <c r="E3" s="1"/>
      <c r="F3" s="2" t="s">
        <v>3</v>
      </c>
      <c r="G3" s="4">
        <v>0.08</v>
      </c>
      <c r="H3" s="2">
        <f>G3+($Q$3-$G$3)/10</f>
        <v>7.5999999999999998E-2</v>
      </c>
      <c r="I3" s="2">
        <f t="shared" ref="I3:P3" si="1">H3+($Q$3-$G$3)/10</f>
        <v>7.1999999999999995E-2</v>
      </c>
      <c r="J3" s="2">
        <f t="shared" si="1"/>
        <v>6.7999999999999991E-2</v>
      </c>
      <c r="K3" s="2">
        <f t="shared" si="1"/>
        <v>6.3999999999999987E-2</v>
      </c>
      <c r="L3" s="2">
        <f t="shared" si="1"/>
        <v>5.9999999999999984E-2</v>
      </c>
      <c r="M3" s="2">
        <f t="shared" si="1"/>
        <v>5.599999999999998E-2</v>
      </c>
      <c r="N3" s="2">
        <f t="shared" si="1"/>
        <v>5.1999999999999977E-2</v>
      </c>
      <c r="O3" s="2">
        <f t="shared" si="1"/>
        <v>4.7999999999999973E-2</v>
      </c>
      <c r="P3" s="2">
        <f t="shared" si="1"/>
        <v>4.399999999999997E-2</v>
      </c>
      <c r="Q3" s="4">
        <v>0.04</v>
      </c>
      <c r="R3" s="1"/>
      <c r="S3" s="1"/>
      <c r="T3" s="3"/>
      <c r="U3" s="3"/>
      <c r="V3" s="3"/>
      <c r="W3" s="3"/>
    </row>
    <row r="4" spans="1:23" x14ac:dyDescent="0.3">
      <c r="A4" s="1"/>
      <c r="B4" s="2" t="s">
        <v>4</v>
      </c>
      <c r="C4" s="2">
        <f>C3/10</f>
        <v>0.01</v>
      </c>
      <c r="D4" s="1"/>
      <c r="E4" s="1"/>
      <c r="F4" s="2" t="s">
        <v>5</v>
      </c>
      <c r="G4" s="5">
        <f>(PI()*(2*G3)^2)/4</f>
        <v>2.0106192982974676E-2</v>
      </c>
      <c r="H4" s="5">
        <f t="shared" ref="H4:Q4" si="2">(PI()*(2*H3)^2)/4</f>
        <v>1.8145839167134643E-2</v>
      </c>
      <c r="I4" s="5">
        <f t="shared" si="2"/>
        <v>1.6286016316209486E-2</v>
      </c>
      <c r="J4" s="5">
        <f t="shared" si="2"/>
        <v>1.4526724430199199E-2</v>
      </c>
      <c r="K4" s="5">
        <f t="shared" si="2"/>
        <v>1.2867963509103787E-2</v>
      </c>
      <c r="L4" s="5">
        <f t="shared" si="2"/>
        <v>1.1309733552923249E-2</v>
      </c>
      <c r="M4" s="5">
        <f t="shared" si="2"/>
        <v>9.8520345616575841E-3</v>
      </c>
      <c r="N4" s="5">
        <f t="shared" si="2"/>
        <v>8.4948665353067939E-3</v>
      </c>
      <c r="O4" s="5">
        <f t="shared" si="2"/>
        <v>7.2382294738708754E-3</v>
      </c>
      <c r="P4" s="5">
        <f t="shared" si="2"/>
        <v>6.0821233773498311E-3</v>
      </c>
      <c r="Q4" s="6">
        <f t="shared" si="2"/>
        <v>5.0265482457436689E-3</v>
      </c>
      <c r="R4" s="1"/>
      <c r="S4" s="1"/>
      <c r="T4" s="3"/>
      <c r="U4" s="3"/>
      <c r="V4" s="3"/>
      <c r="W4" s="3"/>
    </row>
    <row r="5" spans="1:23" x14ac:dyDescent="0.3">
      <c r="A5" s="1"/>
      <c r="B5" s="1"/>
      <c r="C5" s="1"/>
      <c r="D5" s="1"/>
      <c r="E5" s="1"/>
      <c r="F5" s="2" t="s">
        <v>6</v>
      </c>
      <c r="G5" s="2">
        <v>105.86563520720514</v>
      </c>
      <c r="H5" s="2">
        <v>117.30292304327129</v>
      </c>
      <c r="I5" s="2">
        <v>130.71603877302937</v>
      </c>
      <c r="J5" s="2">
        <v>146.57023820179418</v>
      </c>
      <c r="K5" s="2">
        <v>165.49260316314749</v>
      </c>
      <c r="L5" s="2">
        <v>188.32543715902196</v>
      </c>
      <c r="M5" s="2">
        <v>216.22182911008093</v>
      </c>
      <c r="N5" s="2">
        <v>250.79481116600556</v>
      </c>
      <c r="O5" s="2">
        <v>294.35733335747585</v>
      </c>
      <c r="P5" s="2">
        <v>350.32188824121175</v>
      </c>
      <c r="Q5" s="2">
        <v>423.89299016498575</v>
      </c>
      <c r="R5" s="1"/>
      <c r="S5" s="1"/>
      <c r="T5" s="3"/>
      <c r="U5" s="3"/>
      <c r="V5" s="3"/>
      <c r="W5" s="3"/>
    </row>
    <row r="6" spans="1:23" x14ac:dyDescent="0.3">
      <c r="A6" s="1"/>
      <c r="B6" s="21" t="s">
        <v>7</v>
      </c>
      <c r="C6" s="21">
        <v>1.4</v>
      </c>
      <c r="D6" s="1"/>
      <c r="E6" s="1"/>
      <c r="F6" s="2" t="s">
        <v>8</v>
      </c>
      <c r="G6" s="2">
        <v>209359.53686468868</v>
      </c>
      <c r="H6" s="2">
        <v>207769.63053579841</v>
      </c>
      <c r="I6" s="2">
        <v>205691.85562529584</v>
      </c>
      <c r="J6" s="2">
        <v>202938.08308198946</v>
      </c>
      <c r="K6" s="2">
        <v>199227.10421647321</v>
      </c>
      <c r="L6" s="2">
        <v>194131.4595915752</v>
      </c>
      <c r="M6" s="2">
        <v>186983.63613013169</v>
      </c>
      <c r="N6" s="2">
        <v>176708.72178668866</v>
      </c>
      <c r="O6" s="2">
        <v>161513.45569328096</v>
      </c>
      <c r="P6" s="2">
        <v>138280.76688450723</v>
      </c>
      <c r="Q6" s="2">
        <v>101325</v>
      </c>
      <c r="R6" s="1"/>
      <c r="S6" s="1"/>
      <c r="T6" s="3"/>
      <c r="U6" s="3"/>
      <c r="V6" s="3"/>
      <c r="W6" s="3"/>
    </row>
    <row r="7" spans="1:23" x14ac:dyDescent="0.3">
      <c r="A7" s="1"/>
      <c r="B7" s="21" t="s">
        <v>3</v>
      </c>
      <c r="C7" s="21">
        <v>286.97199999999998</v>
      </c>
      <c r="D7" s="1"/>
      <c r="E7" s="1"/>
      <c r="F7" s="2" t="s">
        <v>9</v>
      </c>
      <c r="G7" s="2">
        <v>1.1850000000000001</v>
      </c>
      <c r="H7" s="2">
        <v>1.1850000000000001</v>
      </c>
      <c r="I7" s="2">
        <v>1.1850000000000001</v>
      </c>
      <c r="J7" s="2">
        <v>1.1850000000000001</v>
      </c>
      <c r="K7" s="2">
        <v>1.1850000000000001</v>
      </c>
      <c r="L7" s="2">
        <v>1.1850000000000001</v>
      </c>
      <c r="M7" s="2">
        <v>1.1850000000000001</v>
      </c>
      <c r="N7" s="2">
        <v>1.1850000000000001</v>
      </c>
      <c r="O7" s="2">
        <v>1.1850000000000001</v>
      </c>
      <c r="P7" s="2">
        <v>1.1850000000000001</v>
      </c>
      <c r="Q7" s="2">
        <v>1.1850000000000001</v>
      </c>
      <c r="R7" s="1"/>
      <c r="S7" s="1"/>
      <c r="T7" s="3"/>
      <c r="U7" s="3"/>
      <c r="V7" s="3"/>
      <c r="W7" s="3"/>
    </row>
    <row r="8" spans="1:23" x14ac:dyDescent="0.3">
      <c r="A8" s="1"/>
      <c r="B8" s="21" t="s">
        <v>10</v>
      </c>
      <c r="C8" s="21">
        <v>1004.4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3"/>
      <c r="U8" s="3"/>
      <c r="V8" s="3"/>
      <c r="W8" s="3"/>
    </row>
    <row r="9" spans="1:23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3"/>
      <c r="U9" s="3"/>
      <c r="V9" s="3"/>
      <c r="W9" s="3"/>
    </row>
    <row r="10" spans="1:23" x14ac:dyDescent="0.3">
      <c r="A10" s="1"/>
      <c r="B10" s="7" t="s">
        <v>11</v>
      </c>
      <c r="C10" s="7">
        <v>216000</v>
      </c>
      <c r="D10" s="1"/>
      <c r="E10" s="1"/>
      <c r="F10" s="2" t="s">
        <v>12</v>
      </c>
      <c r="G10" s="5">
        <f>G4*G7*G13</f>
        <v>2.5223435708228985</v>
      </c>
      <c r="H10" s="5">
        <f t="shared" ref="H10:Q10" si="3">H4*H7*H13</f>
        <v>2.5223496026086849</v>
      </c>
      <c r="I10" s="5">
        <f t="shared" si="3"/>
        <v>2.5226860317881932</v>
      </c>
      <c r="J10" s="5">
        <f t="shared" si="3"/>
        <v>2.5230909301691113</v>
      </c>
      <c r="K10" s="5">
        <f t="shared" si="3"/>
        <v>2.5235254004713945</v>
      </c>
      <c r="L10" s="5">
        <f t="shared" si="3"/>
        <v>2.5239481809982309</v>
      </c>
      <c r="M10" s="5">
        <f t="shared" si="3"/>
        <v>2.5243195059864147</v>
      </c>
      <c r="N10" s="6">
        <f t="shared" si="3"/>
        <v>2.5246069034723604</v>
      </c>
      <c r="O10" s="5">
        <f t="shared" si="3"/>
        <v>2.5247926184498874</v>
      </c>
      <c r="P10" s="5">
        <f t="shared" si="3"/>
        <v>2.5248809916491219</v>
      </c>
      <c r="Q10" s="5">
        <f t="shared" si="3"/>
        <v>2.524901689007585</v>
      </c>
      <c r="R10" s="1"/>
      <c r="S10" s="1"/>
      <c r="T10" s="3"/>
      <c r="U10" s="3"/>
      <c r="V10" s="3"/>
      <c r="W10" s="3"/>
    </row>
    <row r="11" spans="1:23" x14ac:dyDescent="0.3">
      <c r="A11" s="1"/>
      <c r="B11" s="7" t="s">
        <v>13</v>
      </c>
      <c r="C11" s="7">
        <v>288.16000000000003</v>
      </c>
      <c r="D11" s="1"/>
      <c r="E11" s="1"/>
      <c r="F11" s="2" t="s">
        <v>14</v>
      </c>
      <c r="G11" s="2">
        <v>0</v>
      </c>
      <c r="H11" s="2">
        <f>H13*(H10-I10)</f>
        <v>-3.9464220525586492E-2</v>
      </c>
      <c r="I11" s="2">
        <f t="shared" ref="I11:P11" si="4">I13*(I10-J10)</f>
        <v>-5.2926847501272085E-2</v>
      </c>
      <c r="J11" s="2">
        <f t="shared" si="4"/>
        <v>-6.368057117113346E-2</v>
      </c>
      <c r="K11" s="2">
        <f t="shared" si="4"/>
        <v>-6.9967198506210429E-2</v>
      </c>
      <c r="L11" s="2">
        <f t="shared" si="4"/>
        <v>-6.9930057653111111E-2</v>
      </c>
      <c r="M11" s="2">
        <f t="shared" si="4"/>
        <v>-6.2141682958104544E-2</v>
      </c>
      <c r="N11" s="2">
        <f t="shared" si="4"/>
        <v>-4.6576385777897411E-2</v>
      </c>
      <c r="O11" s="2">
        <f t="shared" si="4"/>
        <v>-2.6013308498064359E-2</v>
      </c>
      <c r="P11" s="2">
        <f t="shared" si="4"/>
        <v>-7.2507387625351223E-3</v>
      </c>
      <c r="Q11" s="7">
        <v>0</v>
      </c>
      <c r="R11" s="1"/>
      <c r="S11" s="1"/>
      <c r="T11" s="3"/>
      <c r="U11" s="3"/>
      <c r="V11" s="3"/>
      <c r="W11" s="3"/>
    </row>
    <row r="12" spans="1:23" x14ac:dyDescent="0.3">
      <c r="A12" s="1"/>
      <c r="B12" s="7" t="s">
        <v>8</v>
      </c>
      <c r="C12" s="7">
        <v>101325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3"/>
      <c r="U12" s="3"/>
      <c r="V12" s="3"/>
      <c r="W12" s="3"/>
    </row>
    <row r="13" spans="1:23" x14ac:dyDescent="0.3">
      <c r="A13" s="1"/>
      <c r="B13" s="1"/>
      <c r="C13" s="1"/>
      <c r="D13" s="1"/>
      <c r="E13" s="1"/>
      <c r="F13" s="2" t="s">
        <v>6</v>
      </c>
      <c r="G13" s="7">
        <f>(H4*H5*H7)/(G4*G7)</f>
        <v>105.86588804655236</v>
      </c>
      <c r="H13" s="2">
        <f>((G6-H6)/H7+G5*H5)^0.5</f>
        <v>117.30320355466243</v>
      </c>
      <c r="I13" s="2">
        <f t="shared" ref="I13:Q13" si="5">((H6-I6)/I7+H5*I5)^0.5</f>
        <v>130.71637229383796</v>
      </c>
      <c r="J13" s="2">
        <f t="shared" si="5"/>
        <v>146.57059604877225</v>
      </c>
      <c r="K13" s="2">
        <f t="shared" si="5"/>
        <v>165.4929545354436</v>
      </c>
      <c r="L13" s="2">
        <f t="shared" si="5"/>
        <v>188.32575204578828</v>
      </c>
      <c r="M13" s="2">
        <f t="shared" si="5"/>
        <v>216.22208264500426</v>
      </c>
      <c r="N13" s="2">
        <f t="shared" si="5"/>
        <v>250.79498917156641</v>
      </c>
      <c r="O13" s="2">
        <f t="shared" si="5"/>
        <v>294.35743781369376</v>
      </c>
      <c r="P13" s="2">
        <f t="shared" si="5"/>
        <v>350.32193965523311</v>
      </c>
      <c r="Q13" s="2">
        <f t="shared" si="5"/>
        <v>423.8930217580513</v>
      </c>
      <c r="R13" s="1"/>
      <c r="S13" s="1"/>
      <c r="T13" s="3"/>
      <c r="U13" s="3"/>
      <c r="V13" s="3"/>
      <c r="W13" s="3"/>
    </row>
    <row r="14" spans="1:23" x14ac:dyDescent="0.3">
      <c r="A14" s="1"/>
      <c r="B14" s="20" t="s">
        <v>15</v>
      </c>
      <c r="C14" s="20">
        <v>2000</v>
      </c>
      <c r="D14" s="1">
        <v>43</v>
      </c>
      <c r="E14" s="1"/>
      <c r="F14" s="2" t="s">
        <v>8</v>
      </c>
      <c r="G14" s="7">
        <f>C10-(G7*G13^2)/2</f>
        <v>209359.50514575804</v>
      </c>
      <c r="H14" s="2">
        <f>H6+H11</f>
        <v>207769.59107157789</v>
      </c>
      <c r="I14" s="2">
        <f t="shared" ref="I14:Q14" si="6">I6+I11</f>
        <v>205691.80269844833</v>
      </c>
      <c r="J14" s="2">
        <f t="shared" si="6"/>
        <v>202938.01940141828</v>
      </c>
      <c r="K14" s="2">
        <f t="shared" si="6"/>
        <v>199227.0342492747</v>
      </c>
      <c r="L14" s="2">
        <f t="shared" si="6"/>
        <v>194131.38966151755</v>
      </c>
      <c r="M14" s="2">
        <f t="shared" si="6"/>
        <v>186983.57398844874</v>
      </c>
      <c r="N14" s="2">
        <f t="shared" si="6"/>
        <v>176708.6752103029</v>
      </c>
      <c r="O14" s="2">
        <f t="shared" si="6"/>
        <v>161513.42967997247</v>
      </c>
      <c r="P14" s="2">
        <f t="shared" si="6"/>
        <v>138280.75963376847</v>
      </c>
      <c r="Q14" s="7">
        <f t="shared" si="6"/>
        <v>101325</v>
      </c>
      <c r="R14" s="1"/>
      <c r="S14" s="1"/>
      <c r="T14" s="3"/>
      <c r="U14" s="3"/>
      <c r="V14" s="3"/>
      <c r="W14" s="3"/>
    </row>
    <row r="15" spans="1:23" x14ac:dyDescent="0.3">
      <c r="A15" s="1"/>
      <c r="B15" s="1"/>
      <c r="C15" s="1"/>
      <c r="D15" s="1"/>
      <c r="E15" s="1"/>
      <c r="F15" s="2" t="s">
        <v>9</v>
      </c>
      <c r="G15" s="2">
        <f>1.185</f>
        <v>1.1850000000000001</v>
      </c>
      <c r="H15" s="2">
        <f t="shared" ref="H15:Q15" si="7">1.185</f>
        <v>1.1850000000000001</v>
      </c>
      <c r="I15" s="2">
        <f t="shared" si="7"/>
        <v>1.1850000000000001</v>
      </c>
      <c r="J15" s="2">
        <f t="shared" si="7"/>
        <v>1.1850000000000001</v>
      </c>
      <c r="K15" s="2">
        <f t="shared" si="7"/>
        <v>1.1850000000000001</v>
      </c>
      <c r="L15" s="2">
        <f t="shared" si="7"/>
        <v>1.1850000000000001</v>
      </c>
      <c r="M15" s="2">
        <f t="shared" si="7"/>
        <v>1.1850000000000001</v>
      </c>
      <c r="N15" s="2">
        <f t="shared" si="7"/>
        <v>1.1850000000000001</v>
      </c>
      <c r="O15" s="2">
        <f t="shared" si="7"/>
        <v>1.1850000000000001</v>
      </c>
      <c r="P15" s="2">
        <f t="shared" si="7"/>
        <v>1.1850000000000001</v>
      </c>
      <c r="Q15" s="2">
        <f t="shared" si="7"/>
        <v>1.1850000000000001</v>
      </c>
      <c r="R15" s="8"/>
      <c r="S15" s="1"/>
      <c r="T15" s="3"/>
      <c r="U15" s="3"/>
      <c r="V15" s="3" t="s">
        <v>16</v>
      </c>
      <c r="W15" s="3"/>
    </row>
    <row r="16" spans="1:23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3"/>
      <c r="U16" s="3"/>
      <c r="V16" s="3"/>
      <c r="W16" s="3"/>
    </row>
    <row r="17" spans="1:23" x14ac:dyDescent="0.3">
      <c r="A17" s="1"/>
      <c r="B17" s="1"/>
      <c r="C17" s="1"/>
      <c r="D17" s="1"/>
      <c r="E17" s="1"/>
      <c r="F17" s="2" t="s">
        <v>17</v>
      </c>
      <c r="G17" s="2">
        <f>$C$11-(G13^2)/(2*$C$8)</f>
        <v>282.58075554963904</v>
      </c>
      <c r="H17" s="2">
        <f t="shared" ref="H17:Q17" si="8">$C$11-(H13^2)/(2*$C$8)</f>
        <v>281.31011869564588</v>
      </c>
      <c r="I17" s="2">
        <f t="shared" si="8"/>
        <v>279.65404122577598</v>
      </c>
      <c r="J17" s="2">
        <f t="shared" si="8"/>
        <v>277.46558561026865</v>
      </c>
      <c r="K17" s="2">
        <f t="shared" si="8"/>
        <v>274.52603046551656</v>
      </c>
      <c r="L17" s="2">
        <f t="shared" si="8"/>
        <v>270.50439024113319</v>
      </c>
      <c r="M17" s="2">
        <f t="shared" si="8"/>
        <v>264.88640928746366</v>
      </c>
      <c r="N17" s="2">
        <f t="shared" si="8"/>
        <v>256.84870639507864</v>
      </c>
      <c r="O17" s="2">
        <f t="shared" si="8"/>
        <v>245.02663620258733</v>
      </c>
      <c r="P17" s="2">
        <f t="shared" si="8"/>
        <v>227.06608253494386</v>
      </c>
      <c r="Q17" s="2">
        <f t="shared" si="8"/>
        <v>198.71092896496828</v>
      </c>
      <c r="R17" s="1"/>
      <c r="S17" s="1"/>
      <c r="T17" s="3"/>
      <c r="U17" s="3"/>
      <c r="V17" s="3"/>
      <c r="W17" s="3"/>
    </row>
    <row r="18" spans="1:23" x14ac:dyDescent="0.3">
      <c r="A18" s="1"/>
      <c r="B18" s="1"/>
      <c r="C18" s="1"/>
      <c r="D18" s="1"/>
      <c r="E18" s="1"/>
      <c r="F18" s="2" t="s">
        <v>18</v>
      </c>
      <c r="G18" s="2">
        <f>SQRT($C$7*$C$6*G17)</f>
        <v>336.94193923319699</v>
      </c>
      <c r="H18" s="2">
        <f t="shared" ref="H18:Q18" si="9">SQRT($C$7*$C$6*H17)</f>
        <v>336.18354857913204</v>
      </c>
      <c r="I18" s="2">
        <f t="shared" si="9"/>
        <v>335.19252874445266</v>
      </c>
      <c r="J18" s="2">
        <f t="shared" si="9"/>
        <v>333.87841446737764</v>
      </c>
      <c r="K18" s="2">
        <f t="shared" si="9"/>
        <v>332.10510026292928</v>
      </c>
      <c r="L18" s="2">
        <f t="shared" si="9"/>
        <v>329.66355610954309</v>
      </c>
      <c r="M18" s="2">
        <f t="shared" si="9"/>
        <v>326.22227959546052</v>
      </c>
      <c r="N18" s="2">
        <f t="shared" si="9"/>
        <v>321.23471443829339</v>
      </c>
      <c r="O18" s="2">
        <f t="shared" si="9"/>
        <v>313.7548364281584</v>
      </c>
      <c r="P18" s="2">
        <f t="shared" si="9"/>
        <v>302.03683711114621</v>
      </c>
      <c r="Q18" s="2">
        <f t="shared" si="9"/>
        <v>282.5495740391566</v>
      </c>
      <c r="R18" s="1"/>
      <c r="S18" s="1"/>
      <c r="T18" s="3"/>
      <c r="U18" s="3"/>
      <c r="V18" s="3"/>
      <c r="W18" s="3"/>
    </row>
    <row r="19" spans="1:23" x14ac:dyDescent="0.3">
      <c r="A19" s="1"/>
      <c r="B19" s="1"/>
      <c r="C19" s="1"/>
      <c r="D19" s="1"/>
      <c r="E19" s="1"/>
      <c r="F19" s="2" t="s">
        <v>19</v>
      </c>
      <c r="G19" s="2">
        <f>G13/G18</f>
        <v>0.31419623299930832</v>
      </c>
      <c r="H19" s="2">
        <f t="shared" ref="H19:Q19" si="10">H13/H18</f>
        <v>0.34892606747248728</v>
      </c>
      <c r="I19" s="2">
        <f t="shared" si="10"/>
        <v>0.38997400324962128</v>
      </c>
      <c r="J19" s="2">
        <f t="shared" si="10"/>
        <v>0.43899392622488109</v>
      </c>
      <c r="K19" s="2">
        <f t="shared" si="10"/>
        <v>0.49831500451038541</v>
      </c>
      <c r="L19" s="2">
        <f t="shared" si="10"/>
        <v>0.57126651871464362</v>
      </c>
      <c r="M19" s="2">
        <f t="shared" si="10"/>
        <v>0.66280599508143789</v>
      </c>
      <c r="N19" s="2">
        <f t="shared" si="10"/>
        <v>0.78072193912822618</v>
      </c>
      <c r="O19" s="2">
        <f t="shared" si="10"/>
        <v>0.93817657494849127</v>
      </c>
      <c r="P19" s="2">
        <f t="shared" si="10"/>
        <v>1.1598649456334973</v>
      </c>
      <c r="Q19" s="2">
        <f t="shared" si="10"/>
        <v>1.50024300408008</v>
      </c>
      <c r="R19" s="1"/>
      <c r="S19" s="1"/>
      <c r="T19" s="3"/>
      <c r="U19" s="3"/>
      <c r="V19" s="3"/>
      <c r="W19" s="3"/>
    </row>
    <row r="20" spans="1:23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3"/>
      <c r="U20" s="3"/>
      <c r="V20" s="3"/>
      <c r="W20" s="3"/>
    </row>
    <row r="21" spans="1:23" x14ac:dyDescent="0.3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</row>
    <row r="22" spans="1:23" x14ac:dyDescent="0.3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</row>
    <row r="23" spans="1:23" x14ac:dyDescent="0.3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</row>
    <row r="24" spans="1:23" x14ac:dyDescent="0.3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</row>
    <row r="25" spans="1:23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</row>
    <row r="26" spans="1:23" x14ac:dyDescent="0.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</row>
    <row r="27" spans="1:23" x14ac:dyDescent="0.3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</row>
    <row r="28" spans="1:23" x14ac:dyDescent="0.3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</row>
    <row r="29" spans="1:23" x14ac:dyDescent="0.3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</row>
    <row r="30" spans="1:23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</row>
    <row r="31" spans="1:23" x14ac:dyDescent="0.3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</row>
    <row r="32" spans="1:23" x14ac:dyDescent="0.3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</row>
    <row r="33" spans="1:23" x14ac:dyDescent="0.3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</row>
    <row r="34" spans="1:23" x14ac:dyDescent="0.3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</row>
    <row r="35" spans="1:23" x14ac:dyDescent="0.3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</row>
    <row r="36" spans="1:23" x14ac:dyDescent="0.3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</row>
    <row r="37" spans="1:23" x14ac:dyDescent="0.3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</row>
    <row r="38" spans="1:23" x14ac:dyDescent="0.3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</row>
    <row r="39" spans="1:23" x14ac:dyDescent="0.3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</row>
    <row r="40" spans="1:23" x14ac:dyDescent="0.3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</row>
    <row r="41" spans="1:23" x14ac:dyDescent="0.3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2" spans="1:23" x14ac:dyDescent="0.3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</row>
    <row r="43" spans="1:23" x14ac:dyDescent="0.3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</row>
    <row r="44" spans="1:23" x14ac:dyDescent="0.3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</row>
    <row r="45" spans="1:23" x14ac:dyDescent="0.3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</row>
    <row r="46" spans="1:23" x14ac:dyDescent="0.3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</row>
    <row r="47" spans="1:23" x14ac:dyDescent="0.3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</row>
    <row r="48" spans="1:23" x14ac:dyDescent="0.3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</row>
    <row r="49" spans="1:23" x14ac:dyDescent="0.3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</row>
    <row r="50" spans="1:23" x14ac:dyDescent="0.3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</row>
    <row r="51" spans="1:23" x14ac:dyDescent="0.3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</row>
    <row r="52" spans="1:23" x14ac:dyDescent="0.3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</row>
    <row r="53" spans="1:23" x14ac:dyDescent="0.3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</row>
    <row r="54" spans="1:23" x14ac:dyDescent="0.3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</row>
    <row r="55" spans="1:23" x14ac:dyDescent="0.3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Расчет">
              <controlPr defaultSize="0" print="0" autoFill="0" autoPict="0" macro="[0]!Naumov">
                <anchor moveWithCells="1" sizeWithCells="1">
                  <from>
                    <xdr:col>1</xdr:col>
                    <xdr:colOff>0</xdr:colOff>
                    <xdr:row>15</xdr:row>
                    <xdr:rowOff>15240</xdr:rowOff>
                  </from>
                  <to>
                    <xdr:col>2</xdr:col>
                    <xdr:colOff>594360</xdr:colOff>
                    <xdr:row>17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B1:T30"/>
  <sheetViews>
    <sheetView zoomScale="70" zoomScaleNormal="70" workbookViewId="0">
      <selection activeCell="T42" sqref="T42"/>
    </sheetView>
  </sheetViews>
  <sheetFormatPr defaultRowHeight="14.4" x14ac:dyDescent="0.3"/>
  <sheetData>
    <row r="1" spans="2:17" x14ac:dyDescent="0.3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 x14ac:dyDescent="0.3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 x14ac:dyDescent="0.3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 x14ac:dyDescent="0.3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 x14ac:dyDescent="0.3">
      <c r="F5" s="9" t="s">
        <v>6</v>
      </c>
      <c r="G5" s="9">
        <v>44.061773325006357</v>
      </c>
      <c r="H5" s="9">
        <v>48.92314001739534</v>
      </c>
      <c r="I5" s="9">
        <v>54.578157622204209</v>
      </c>
      <c r="J5" s="9">
        <v>61.3676049944319</v>
      </c>
      <c r="K5" s="9">
        <v>69.628313490775255</v>
      </c>
      <c r="L5" s="9">
        <v>79.843213821267071</v>
      </c>
      <c r="M5" s="9">
        <v>92.738828977469382</v>
      </c>
      <c r="N5" s="9">
        <v>109.48812343151208</v>
      </c>
      <c r="O5" s="9">
        <v>132.21037500022013</v>
      </c>
      <c r="P5" s="9">
        <v>165.6106818341492</v>
      </c>
      <c r="Q5" s="9">
        <v>423.94681161813469</v>
      </c>
    </row>
    <row r="6" spans="2:17" x14ac:dyDescent="0.3">
      <c r="B6" s="22" t="s">
        <v>7</v>
      </c>
      <c r="C6" s="22">
        <v>1.4</v>
      </c>
      <c r="F6" s="9" t="s">
        <v>8</v>
      </c>
      <c r="G6" s="9">
        <v>350867.40735553997</v>
      </c>
      <c r="H6" s="9">
        <v>349857.56343376642</v>
      </c>
      <c r="I6" s="9">
        <v>348550.28172794066</v>
      </c>
      <c r="J6" s="9">
        <v>346791.64149142883</v>
      </c>
      <c r="K6" s="9">
        <v>344375.92068949185</v>
      </c>
      <c r="L6" s="9">
        <v>340975.03234884789</v>
      </c>
      <c r="M6" s="9">
        <v>336041.10751108819</v>
      </c>
      <c r="N6" s="9">
        <v>328598.86826103256</v>
      </c>
      <c r="O6" s="9">
        <v>316733.17818914173</v>
      </c>
      <c r="P6" s="9">
        <v>295951.32816207642</v>
      </c>
      <c r="Q6" s="9">
        <v>101325</v>
      </c>
    </row>
    <row r="7" spans="2:17" x14ac:dyDescent="0.3">
      <c r="B7" s="22" t="s">
        <v>3</v>
      </c>
      <c r="C7" s="22">
        <v>286.97199999999998</v>
      </c>
      <c r="F7" s="9" t="s">
        <v>9</v>
      </c>
      <c r="G7" s="9">
        <v>4.2572469963409283</v>
      </c>
      <c r="H7" s="9">
        <v>4.2483227810016162</v>
      </c>
      <c r="I7" s="9">
        <v>4.2367501657323681</v>
      </c>
      <c r="J7" s="9">
        <v>4.2211434646644621</v>
      </c>
      <c r="K7" s="9">
        <v>4.1996416070064333</v>
      </c>
      <c r="L7" s="9">
        <v>4.1692580522743112</v>
      </c>
      <c r="M7" s="9">
        <v>4.124964723733342</v>
      </c>
      <c r="N7" s="9">
        <v>4.0577115891693332</v>
      </c>
      <c r="O7" s="9">
        <v>3.9494508936700159</v>
      </c>
      <c r="P7" s="9">
        <v>3.7568853104570774</v>
      </c>
      <c r="Q7" s="9">
        <v>1.7770717181957589</v>
      </c>
    </row>
    <row r="8" spans="2:17" x14ac:dyDescent="0.3">
      <c r="B8" s="22" t="s">
        <v>10</v>
      </c>
      <c r="C8" s="22">
        <v>1004.4</v>
      </c>
    </row>
    <row r="10" spans="2:17" x14ac:dyDescent="0.3">
      <c r="B10" s="13" t="s">
        <v>11</v>
      </c>
      <c r="C10" s="13">
        <v>355000</v>
      </c>
      <c r="F10" s="9" t="s">
        <v>12</v>
      </c>
      <c r="G10" s="10">
        <f t="shared" ref="G10:Q10" si="3">G4*G7*G13</f>
        <v>3.7714546252394219</v>
      </c>
      <c r="H10" s="10">
        <f t="shared" si="3"/>
        <v>3.7713528467869839</v>
      </c>
      <c r="I10" s="10">
        <f t="shared" si="3"/>
        <v>3.7658286654815862</v>
      </c>
      <c r="J10" s="10">
        <f t="shared" si="3"/>
        <v>3.7630111734824023</v>
      </c>
      <c r="K10" s="10">
        <f t="shared" si="3"/>
        <v>3.7627883031927376</v>
      </c>
      <c r="L10" s="10">
        <f t="shared" si="3"/>
        <v>3.7648969258226872</v>
      </c>
      <c r="M10" s="10">
        <f t="shared" si="3"/>
        <v>3.7688820355463615</v>
      </c>
      <c r="N10" s="10">
        <f t="shared" si="3"/>
        <v>3.7740639491554426</v>
      </c>
      <c r="O10" s="10">
        <f t="shared" si="3"/>
        <v>3.7795316548935967</v>
      </c>
      <c r="P10" s="10">
        <f t="shared" si="3"/>
        <v>3.7841929258987133</v>
      </c>
      <c r="Q10" s="10">
        <f t="shared" si="3"/>
        <v>3.7869207620637364</v>
      </c>
    </row>
    <row r="11" spans="2:17" x14ac:dyDescent="0.3">
      <c r="B11" s="13" t="s">
        <v>13</v>
      </c>
      <c r="C11" s="13">
        <v>288.16000000000003</v>
      </c>
      <c r="F11" s="9" t="s">
        <v>14</v>
      </c>
      <c r="G11" s="12">
        <v>0</v>
      </c>
      <c r="H11" s="12">
        <f>(H13)*(H10-I10)</f>
        <v>0.2702530020993773</v>
      </c>
      <c r="I11" s="12">
        <f t="shared" ref="I11:P11" si="4">(I13)*(I10-J10)</f>
        <v>0.15377138561156797</v>
      </c>
      <c r="J11" s="12">
        <f t="shared" si="4"/>
        <v>1.3676969374340967E-2</v>
      </c>
      <c r="K11" s="12">
        <f t="shared" si="4"/>
        <v>-0.14682046595177198</v>
      </c>
      <c r="L11" s="12">
        <f t="shared" si="4"/>
        <v>-0.31818684807089431</v>
      </c>
      <c r="M11" s="12">
        <f t="shared" si="4"/>
        <v>-0.48056987946180596</v>
      </c>
      <c r="N11" s="12">
        <f t="shared" si="4"/>
        <v>-0.59865505363936122</v>
      </c>
      <c r="O11" s="12">
        <f t="shared" si="4"/>
        <v>-0.61627318987104018</v>
      </c>
      <c r="P11" s="12">
        <f t="shared" si="4"/>
        <v>-0.45176063950558543</v>
      </c>
      <c r="Q11" s="13">
        <v>0</v>
      </c>
    </row>
    <row r="12" spans="2:17" x14ac:dyDescent="0.3">
      <c r="B12" s="13" t="s">
        <v>8</v>
      </c>
      <c r="C12" s="13">
        <v>101325</v>
      </c>
    </row>
    <row r="13" spans="2:17" x14ac:dyDescent="0.3">
      <c r="F13" s="9" t="s">
        <v>6</v>
      </c>
      <c r="G13" s="13">
        <f>(H4*H5*H7)/(G4*G7)</f>
        <v>44.060578259961211</v>
      </c>
      <c r="H13" s="14">
        <f t="shared" ref="H13:Q13" si="5">((G6-H6)/H7+G5*H5)^0.5</f>
        <v>48.921819751881337</v>
      </c>
      <c r="I13" s="14">
        <f t="shared" si="5"/>
        <v>54.577399210399946</v>
      </c>
      <c r="J13" s="14">
        <f t="shared" si="5"/>
        <v>61.367396232651991</v>
      </c>
      <c r="K13" s="14">
        <f t="shared" si="5"/>
        <v>69.62861152414051</v>
      </c>
      <c r="L13" s="14">
        <f t="shared" si="5"/>
        <v>79.843936587403633</v>
      </c>
      <c r="M13" s="14">
        <f t="shared" si="5"/>
        <v>92.739847808273154</v>
      </c>
      <c r="N13" s="14">
        <f t="shared" si="5"/>
        <v>109.48925972038053</v>
      </c>
      <c r="O13" s="14">
        <f t="shared" si="5"/>
        <v>132.21140525718582</v>
      </c>
      <c r="P13" s="14">
        <f t="shared" si="5"/>
        <v>165.61135353293929</v>
      </c>
      <c r="Q13" s="14">
        <f t="shared" si="5"/>
        <v>423.94684483506154</v>
      </c>
    </row>
    <row r="14" spans="2:17" x14ac:dyDescent="0.3">
      <c r="B14" s="24" t="s">
        <v>15</v>
      </c>
      <c r="C14" s="24">
        <v>2000</v>
      </c>
      <c r="D14">
        <v>2000</v>
      </c>
      <c r="F14" s="9" t="s">
        <v>8</v>
      </c>
      <c r="G14" s="15">
        <f>C10-(G7*G13^2)/2</f>
        <v>350867.62964500627</v>
      </c>
      <c r="H14" s="16">
        <f>H6+H11</f>
        <v>349857.83368676854</v>
      </c>
      <c r="I14" s="16">
        <f t="shared" ref="I14:Q14" si="6">I6+I11</f>
        <v>348550.43549932627</v>
      </c>
      <c r="J14" s="16">
        <f t="shared" si="6"/>
        <v>346791.65516839823</v>
      </c>
      <c r="K14" s="16">
        <f t="shared" si="6"/>
        <v>344375.77386902587</v>
      </c>
      <c r="L14" s="16">
        <f t="shared" si="6"/>
        <v>340974.71416199981</v>
      </c>
      <c r="M14" s="16">
        <f t="shared" si="6"/>
        <v>336040.62694120873</v>
      </c>
      <c r="N14" s="16">
        <f t="shared" si="6"/>
        <v>328598.26960597892</v>
      </c>
      <c r="O14" s="16">
        <f t="shared" si="6"/>
        <v>316732.56191595184</v>
      </c>
      <c r="P14" s="16">
        <f t="shared" si="6"/>
        <v>295950.87640143692</v>
      </c>
      <c r="Q14" s="15">
        <f t="shared" si="6"/>
        <v>101325</v>
      </c>
    </row>
    <row r="15" spans="2:17" x14ac:dyDescent="0.3">
      <c r="F15" s="9" t="s">
        <v>9</v>
      </c>
      <c r="G15" s="10">
        <f>G14/($C$7*G17)</f>
        <v>4.2572489163555369</v>
      </c>
      <c r="H15" s="10">
        <f t="shared" ref="H15:Q15" si="7">H14/($C$7*H17)</f>
        <v>4.2483251106646245</v>
      </c>
      <c r="I15" s="10">
        <f t="shared" si="7"/>
        <v>4.2367514258254602</v>
      </c>
      <c r="J15" s="10">
        <f t="shared" si="7"/>
        <v>4.2211434430728181</v>
      </c>
      <c r="K15" s="10">
        <f t="shared" si="7"/>
        <v>4.1996401201924733</v>
      </c>
      <c r="L15" s="10">
        <f t="shared" si="7"/>
        <v>4.1692550022111172</v>
      </c>
      <c r="M15" s="10">
        <f t="shared" si="7"/>
        <v>4.1249601915827077</v>
      </c>
      <c r="N15" s="10">
        <f t="shared" si="7"/>
        <v>4.0577059777546882</v>
      </c>
      <c r="O15" s="10">
        <f t="shared" si="7"/>
        <v>3.9494451257262524</v>
      </c>
      <c r="P15" s="10">
        <f t="shared" si="7"/>
        <v>3.7568810914511093</v>
      </c>
      <c r="Q15" s="10">
        <f t="shared" si="7"/>
        <v>1.7770718435956014</v>
      </c>
    </row>
    <row r="17" spans="6:20" x14ac:dyDescent="0.3">
      <c r="F17" s="9" t="s">
        <v>17</v>
      </c>
      <c r="G17" s="14">
        <f>$C$11-(G13^2)/(2*$C$8)</f>
        <v>287.19358494792806</v>
      </c>
      <c r="H17" s="14">
        <f t="shared" ref="H17:Q17" si="8">$C$11-(H13^2)/(2*$C$8)</f>
        <v>286.96857006778401</v>
      </c>
      <c r="I17" s="14">
        <f t="shared" si="8"/>
        <v>286.67717816379366</v>
      </c>
      <c r="J17" s="14">
        <f t="shared" si="8"/>
        <v>286.2852701511473</v>
      </c>
      <c r="K17" s="14">
        <f t="shared" si="8"/>
        <v>285.74654741996238</v>
      </c>
      <c r="L17" s="14">
        <f t="shared" si="8"/>
        <v>284.98643657418694</v>
      </c>
      <c r="M17" s="14">
        <f t="shared" si="8"/>
        <v>283.87849891900555</v>
      </c>
      <c r="N17" s="14">
        <f t="shared" si="8"/>
        <v>282.19230884402782</v>
      </c>
      <c r="O17" s="14">
        <f t="shared" si="8"/>
        <v>279.45835937869384</v>
      </c>
      <c r="P17" s="14">
        <f t="shared" si="8"/>
        <v>274.50651512394853</v>
      </c>
      <c r="Q17" s="14">
        <f t="shared" si="8"/>
        <v>198.68821224332748</v>
      </c>
    </row>
    <row r="18" spans="6:20" x14ac:dyDescent="0.3">
      <c r="F18" s="9" t="s">
        <v>18</v>
      </c>
      <c r="G18" s="17">
        <f>SQRT($C$6*$C$7*G17)</f>
        <v>339.68091563045976</v>
      </c>
      <c r="H18" s="17">
        <f t="shared" ref="H18:Q18" si="9">SQRT($C$6*$C$7*H17)</f>
        <v>339.54782032180526</v>
      </c>
      <c r="I18" s="17">
        <f t="shared" si="9"/>
        <v>339.37538573212447</v>
      </c>
      <c r="J18" s="17">
        <f t="shared" si="9"/>
        <v>339.14333129834802</v>
      </c>
      <c r="K18" s="17">
        <f t="shared" si="9"/>
        <v>338.82408634670884</v>
      </c>
      <c r="L18" s="17">
        <f t="shared" si="9"/>
        <v>338.37313538044742</v>
      </c>
      <c r="M18" s="17">
        <f t="shared" si="9"/>
        <v>337.71475068243433</v>
      </c>
      <c r="N18" s="17">
        <f t="shared" si="9"/>
        <v>336.71027271977266</v>
      </c>
      <c r="O18" s="17">
        <f t="shared" si="9"/>
        <v>335.0752363733726</v>
      </c>
      <c r="P18" s="17">
        <f t="shared" si="9"/>
        <v>332.09329580918921</v>
      </c>
      <c r="Q18" s="17">
        <f t="shared" si="9"/>
        <v>282.53342298115638</v>
      </c>
    </row>
    <row r="19" spans="6:20" x14ac:dyDescent="0.3">
      <c r="F19" s="9" t="s">
        <v>19</v>
      </c>
      <c r="G19" s="12">
        <f>G13/G18</f>
        <v>0.12971166831137165</v>
      </c>
      <c r="H19" s="12">
        <f t="shared" ref="H19:Q19" si="10">H13/H18</f>
        <v>0.14407932203928112</v>
      </c>
      <c r="I19" s="12">
        <f t="shared" si="10"/>
        <v>0.16081719978796263</v>
      </c>
      <c r="J19" s="12">
        <f t="shared" si="10"/>
        <v>0.18094826160289862</v>
      </c>
      <c r="K19" s="12">
        <f t="shared" si="10"/>
        <v>0.20550077261299415</v>
      </c>
      <c r="L19" s="12">
        <f t="shared" si="10"/>
        <v>0.23596417161673214</v>
      </c>
      <c r="M19" s="12">
        <f t="shared" si="10"/>
        <v>0.27461000036530792</v>
      </c>
      <c r="N19" s="12">
        <f t="shared" si="10"/>
        <v>0.32517350550662599</v>
      </c>
      <c r="O19" s="12">
        <f t="shared" si="10"/>
        <v>0.39457229572722985</v>
      </c>
      <c r="P19" s="12">
        <f t="shared" si="10"/>
        <v>0.4986892407129308</v>
      </c>
      <c r="Q19" s="12">
        <f t="shared" si="10"/>
        <v>1.5005192672844825</v>
      </c>
    </row>
    <row r="20" spans="6:20" x14ac:dyDescent="0.3">
      <c r="F20" s="9" t="s">
        <v>20</v>
      </c>
      <c r="G20" s="9">
        <f>1-((($C$6-1)/($C$6+1))*G21^2)</f>
        <v>0.99674452414442138</v>
      </c>
      <c r="H20" s="9">
        <f t="shared" ref="H20:Q20" si="11">1-((($C$6-1)/($C$6+1))*H21^2)</f>
        <v>0.9960137305399861</v>
      </c>
      <c r="I20" s="9">
        <f t="shared" si="11"/>
        <v>0.99508194862891708</v>
      </c>
      <c r="J20" s="9">
        <f t="shared" si="11"/>
        <v>0.99385401252850569</v>
      </c>
      <c r="K20" s="9">
        <f t="shared" si="11"/>
        <v>0.99221169552727795</v>
      </c>
      <c r="L20" s="9">
        <f t="shared" si="11"/>
        <v>0.98997999182261187</v>
      </c>
      <c r="M20" s="9">
        <f t="shared" si="11"/>
        <v>0.98689446363234257</v>
      </c>
      <c r="N20" s="9">
        <f t="shared" si="11"/>
        <v>0.98254396420898971</v>
      </c>
      <c r="O20" s="9">
        <f t="shared" si="11"/>
        <v>0.97625586199803871</v>
      </c>
      <c r="P20" s="9">
        <f t="shared" si="11"/>
        <v>0.96678322933129879</v>
      </c>
      <c r="Q20" s="9">
        <f t="shared" si="11"/>
        <v>0.91817152271581493</v>
      </c>
    </row>
    <row r="21" spans="6:20" x14ac:dyDescent="0.3">
      <c r="F21" s="9" t="s">
        <v>21</v>
      </c>
      <c r="G21" s="9">
        <f>SQRT(((($C$6+1)/2)*G19^2)/(1+2*G19^2))</f>
        <v>0.13975999117584367</v>
      </c>
      <c r="H21" s="9">
        <f>SQRT(((($C$6+1)/2)*H19^2)/(1+2*H19^2))</f>
        <v>0.15465321451584327</v>
      </c>
      <c r="I21" s="9">
        <f t="shared" ref="I21:Q21" si="12">SQRT(((($C$6+1)/2)*I19^2)/(1+2*I19^2))</f>
        <v>0.17177982485291377</v>
      </c>
      <c r="J21" s="9">
        <f t="shared" si="12"/>
        <v>0.19203105173113452</v>
      </c>
      <c r="K21" s="9">
        <f t="shared" si="12"/>
        <v>0.21617082790314809</v>
      </c>
      <c r="L21" s="9">
        <f t="shared" si="12"/>
        <v>0.24519390095255025</v>
      </c>
      <c r="M21" s="9">
        <f t="shared" si="12"/>
        <v>0.28041615182785834</v>
      </c>
      <c r="N21" s="9">
        <f t="shared" si="12"/>
        <v>0.32362974947625239</v>
      </c>
      <c r="O21" s="9">
        <f t="shared" si="12"/>
        <v>0.37744513245207906</v>
      </c>
      <c r="P21" s="9">
        <f t="shared" si="12"/>
        <v>0.44643098460143565</v>
      </c>
      <c r="Q21" s="9">
        <f t="shared" si="12"/>
        <v>0.70069313091046537</v>
      </c>
    </row>
    <row r="22" spans="6:20" x14ac:dyDescent="0.3">
      <c r="F22" s="9" t="s">
        <v>22</v>
      </c>
      <c r="G22" s="9">
        <f>(1-((($C$6-1)/($C$6+1))*G21^2))^($C$6/($C$6-1))</f>
        <v>0.98865212585154483</v>
      </c>
      <c r="H22" s="9">
        <f t="shared" ref="H22:Q22" si="13">(1-((($C$6-1)/($C$6+1))*H21^2))^($C$6/($C$6-1))</f>
        <v>0.98611743865169554</v>
      </c>
      <c r="I22" s="9">
        <f t="shared" si="13"/>
        <v>0.98289237927743911</v>
      </c>
      <c r="J22" s="9">
        <f t="shared" si="13"/>
        <v>0.97865379398838326</v>
      </c>
      <c r="K22" s="9">
        <f t="shared" si="13"/>
        <v>0.97300527931111802</v>
      </c>
      <c r="L22" s="9">
        <f t="shared" si="13"/>
        <v>0.96536702594853241</v>
      </c>
      <c r="M22" s="9">
        <f t="shared" si="13"/>
        <v>0.95487713534369834</v>
      </c>
      <c r="N22" s="9">
        <f t="shared" si="13"/>
        <v>0.94022538485456131</v>
      </c>
      <c r="O22" s="9">
        <f t="shared" si="13"/>
        <v>0.91933287638910044</v>
      </c>
      <c r="P22" s="9">
        <f t="shared" si="13"/>
        <v>0.88848863821322899</v>
      </c>
      <c r="Q22" s="9">
        <f t="shared" si="13"/>
        <v>0.74170868802605194</v>
      </c>
    </row>
    <row r="23" spans="6:20" x14ac:dyDescent="0.3">
      <c r="F23" s="9" t="s">
        <v>11</v>
      </c>
      <c r="G23" s="9">
        <f>G14/G22</f>
        <v>354894.93267694872</v>
      </c>
      <c r="H23" s="9">
        <f t="shared" ref="H23:Q23" si="14">H14/H22</f>
        <v>354783.13228607358</v>
      </c>
      <c r="I23" s="9">
        <f t="shared" si="14"/>
        <v>354617.09017986152</v>
      </c>
      <c r="J23" s="9">
        <f t="shared" si="14"/>
        <v>354355.80723096314</v>
      </c>
      <c r="K23" s="9">
        <f t="shared" si="14"/>
        <v>353930.01578865212</v>
      </c>
      <c r="L23" s="9">
        <f t="shared" si="14"/>
        <v>353207.33461656328</v>
      </c>
      <c r="M23" s="9">
        <f t="shared" si="14"/>
        <v>351920.27801592957</v>
      </c>
      <c r="N23" s="9">
        <f t="shared" si="14"/>
        <v>349488.82991157286</v>
      </c>
      <c r="O23" s="9">
        <f t="shared" si="14"/>
        <v>344524.35026580869</v>
      </c>
      <c r="P23" s="9">
        <f t="shared" si="14"/>
        <v>333094.72251282912</v>
      </c>
      <c r="Q23" s="9">
        <f t="shared" si="14"/>
        <v>136610.23746352698</v>
      </c>
    </row>
    <row r="26" spans="6:20" x14ac:dyDescent="0.3">
      <c r="S26" s="19"/>
      <c r="T26" s="19"/>
    </row>
    <row r="27" spans="6:20" x14ac:dyDescent="0.3">
      <c r="S27" s="19"/>
      <c r="T27" s="19"/>
    </row>
    <row r="30" spans="6:20" x14ac:dyDescent="0.3">
      <c r="J30" s="1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aumov">
                <anchor moveWithCells="1" sizeWithCells="1">
                  <from>
                    <xdr:col>1</xdr:col>
                    <xdr:colOff>7620</xdr:colOff>
                    <xdr:row>15</xdr:row>
                    <xdr:rowOff>30480</xdr:rowOff>
                  </from>
                  <to>
                    <xdr:col>3</xdr:col>
                    <xdr:colOff>601980</xdr:colOff>
                    <xdr:row>18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Q55"/>
  <sheetViews>
    <sheetView zoomScale="70" zoomScaleNormal="70" workbookViewId="0">
      <selection activeCell="V28" sqref="V28"/>
    </sheetView>
  </sheetViews>
  <sheetFormatPr defaultRowHeight="14.4" x14ac:dyDescent="0.3"/>
  <sheetData>
    <row r="1" spans="1:17" x14ac:dyDescent="0.3">
      <c r="A1" s="1"/>
      <c r="B1" s="1"/>
      <c r="C1" s="1"/>
      <c r="D1" s="1"/>
      <c r="E1" s="1"/>
      <c r="F1" s="2" t="s">
        <v>0</v>
      </c>
      <c r="G1" s="2">
        <v>1</v>
      </c>
      <c r="H1" s="2">
        <v>2</v>
      </c>
      <c r="I1" s="2">
        <v>3</v>
      </c>
      <c r="J1" s="2">
        <v>4</v>
      </c>
      <c r="K1" s="2">
        <v>5</v>
      </c>
      <c r="L1" s="2">
        <v>6</v>
      </c>
      <c r="M1" s="2">
        <v>7</v>
      </c>
      <c r="N1" s="2">
        <v>8</v>
      </c>
      <c r="O1" s="2">
        <v>9</v>
      </c>
      <c r="P1" s="2">
        <v>10</v>
      </c>
      <c r="Q1" s="2">
        <v>11</v>
      </c>
    </row>
    <row r="2" spans="1:17" x14ac:dyDescent="0.3">
      <c r="A2" s="1"/>
      <c r="B2" s="1"/>
      <c r="C2" s="1"/>
      <c r="D2" s="1"/>
      <c r="E2" s="1"/>
      <c r="F2" s="2" t="s">
        <v>1</v>
      </c>
      <c r="G2" s="2">
        <v>0</v>
      </c>
      <c r="H2" s="2">
        <f>G2+$C$4</f>
        <v>0.01</v>
      </c>
      <c r="I2" s="2">
        <f t="shared" ref="I2:Q2" si="0">H2+$C$4</f>
        <v>0.02</v>
      </c>
      <c r="J2" s="2">
        <f t="shared" si="0"/>
        <v>0.03</v>
      </c>
      <c r="K2" s="2">
        <f t="shared" si="0"/>
        <v>0.04</v>
      </c>
      <c r="L2" s="2">
        <f t="shared" si="0"/>
        <v>0.05</v>
      </c>
      <c r="M2" s="2">
        <f t="shared" si="0"/>
        <v>6.0000000000000005E-2</v>
      </c>
      <c r="N2" s="2">
        <f t="shared" si="0"/>
        <v>7.0000000000000007E-2</v>
      </c>
      <c r="O2" s="2">
        <f t="shared" si="0"/>
        <v>0.08</v>
      </c>
      <c r="P2" s="2">
        <f t="shared" si="0"/>
        <v>0.09</v>
      </c>
      <c r="Q2" s="2">
        <f t="shared" si="0"/>
        <v>9.9999999999999992E-2</v>
      </c>
    </row>
    <row r="3" spans="1:17" x14ac:dyDescent="0.3">
      <c r="A3" s="1"/>
      <c r="B3" s="2" t="s">
        <v>2</v>
      </c>
      <c r="C3" s="2">
        <v>0.1</v>
      </c>
      <c r="D3" s="1"/>
      <c r="E3" s="1"/>
      <c r="F3" s="2" t="s">
        <v>3</v>
      </c>
      <c r="G3" s="4">
        <v>0.08</v>
      </c>
      <c r="H3" s="2">
        <f>G3+($Q$3-$G$3)/10</f>
        <v>7.5999999999999998E-2</v>
      </c>
      <c r="I3" s="2">
        <f t="shared" ref="I3:P3" si="1">H3+($Q$3-$G$3)/10</f>
        <v>7.1999999999999995E-2</v>
      </c>
      <c r="J3" s="2">
        <f t="shared" si="1"/>
        <v>6.7999999999999991E-2</v>
      </c>
      <c r="K3" s="2">
        <f t="shared" si="1"/>
        <v>6.3999999999999987E-2</v>
      </c>
      <c r="L3" s="2">
        <f t="shared" si="1"/>
        <v>5.9999999999999984E-2</v>
      </c>
      <c r="M3" s="2">
        <f t="shared" si="1"/>
        <v>5.599999999999998E-2</v>
      </c>
      <c r="N3" s="2">
        <f t="shared" si="1"/>
        <v>5.1999999999999977E-2</v>
      </c>
      <c r="O3" s="2">
        <f t="shared" si="1"/>
        <v>4.7999999999999973E-2</v>
      </c>
      <c r="P3" s="2">
        <f t="shared" si="1"/>
        <v>4.399999999999997E-2</v>
      </c>
      <c r="Q3" s="4">
        <v>0.04</v>
      </c>
    </row>
    <row r="4" spans="1:17" x14ac:dyDescent="0.3">
      <c r="A4" s="1"/>
      <c r="B4" s="2" t="s">
        <v>4</v>
      </c>
      <c r="C4" s="2">
        <f>C3/10</f>
        <v>0.01</v>
      </c>
      <c r="D4" s="1"/>
      <c r="E4" s="1"/>
      <c r="F4" s="2" t="s">
        <v>5</v>
      </c>
      <c r="G4" s="5">
        <f>(PI()*(2*G3)^2)/4</f>
        <v>2.0106192982974676E-2</v>
      </c>
      <c r="H4" s="5">
        <f t="shared" ref="H4:Q4" si="2">(PI()*(2*H3)^2)/4</f>
        <v>1.8145839167134643E-2</v>
      </c>
      <c r="I4" s="5">
        <f t="shared" si="2"/>
        <v>1.6286016316209486E-2</v>
      </c>
      <c r="J4" s="5">
        <f t="shared" si="2"/>
        <v>1.4526724430199199E-2</v>
      </c>
      <c r="K4" s="5">
        <f t="shared" si="2"/>
        <v>1.2867963509103787E-2</v>
      </c>
      <c r="L4" s="5">
        <f t="shared" si="2"/>
        <v>1.1309733552923249E-2</v>
      </c>
      <c r="M4" s="5">
        <f t="shared" si="2"/>
        <v>9.8520345616575841E-3</v>
      </c>
      <c r="N4" s="5">
        <f t="shared" si="2"/>
        <v>8.4948665353067939E-3</v>
      </c>
      <c r="O4" s="5">
        <f t="shared" si="2"/>
        <v>7.2382294738708754E-3</v>
      </c>
      <c r="P4" s="5">
        <f t="shared" si="2"/>
        <v>6.0821233773498311E-3</v>
      </c>
      <c r="Q4" s="6">
        <f t="shared" si="2"/>
        <v>5.0265482457436689E-3</v>
      </c>
    </row>
    <row r="5" spans="1:17" x14ac:dyDescent="0.3">
      <c r="A5" s="1"/>
      <c r="B5" s="1"/>
      <c r="C5" s="1"/>
      <c r="D5" s="1"/>
      <c r="E5" s="1"/>
      <c r="F5" s="2" t="s">
        <v>6</v>
      </c>
      <c r="G5" s="2">
        <v>57.345863662693617</v>
      </c>
      <c r="H5" s="2">
        <v>63.541273244471491</v>
      </c>
      <c r="I5" s="2">
        <v>70.806929022965377</v>
      </c>
      <c r="J5" s="2">
        <v>79.397519650294129</v>
      </c>
      <c r="K5" s="2">
        <v>89.652956402094503</v>
      </c>
      <c r="L5" s="2">
        <v>102.02955520689169</v>
      </c>
      <c r="M5" s="2">
        <v>117.15172537059544</v>
      </c>
      <c r="N5" s="2">
        <v>135.8927282316663</v>
      </c>
      <c r="O5" s="2">
        <v>159.50475198776715</v>
      </c>
      <c r="P5" s="2">
        <v>189.83572747710332</v>
      </c>
      <c r="Q5" s="2">
        <v>229.70519916278516</v>
      </c>
    </row>
    <row r="6" spans="1:17" x14ac:dyDescent="0.3">
      <c r="A6" s="1"/>
      <c r="B6" s="7" t="s">
        <v>7</v>
      </c>
      <c r="C6" s="7">
        <v>1.4</v>
      </c>
      <c r="D6" s="1"/>
      <c r="E6" s="1"/>
      <c r="F6" s="2" t="s">
        <v>8</v>
      </c>
      <c r="G6" s="2">
        <v>133051.53526306202</v>
      </c>
      <c r="H6" s="2">
        <v>132585.0204570019</v>
      </c>
      <c r="I6" s="2">
        <v>131975.35096062184</v>
      </c>
      <c r="J6" s="2">
        <v>131167.04864642158</v>
      </c>
      <c r="K6" s="2">
        <v>130077.46773118924</v>
      </c>
      <c r="L6" s="2">
        <v>128581.01478432902</v>
      </c>
      <c r="M6" s="2">
        <v>126481.62501993927</v>
      </c>
      <c r="N6" s="2">
        <v>123463.65894101333</v>
      </c>
      <c r="O6" s="2">
        <v>119000.64254371547</v>
      </c>
      <c r="P6" s="2">
        <v>112177.50864414575</v>
      </c>
      <c r="Q6" s="2">
        <v>101325</v>
      </c>
    </row>
    <row r="7" spans="1:17" x14ac:dyDescent="0.3">
      <c r="A7" s="1"/>
      <c r="B7" s="7" t="s">
        <v>3</v>
      </c>
      <c r="C7" s="7">
        <v>286.97199999999998</v>
      </c>
      <c r="D7" s="1"/>
      <c r="E7" s="1"/>
      <c r="F7" s="2" t="s">
        <v>9</v>
      </c>
      <c r="G7" s="2">
        <v>1.1850000000000001</v>
      </c>
      <c r="H7" s="2">
        <v>1.1850000000000001</v>
      </c>
      <c r="I7" s="2">
        <v>1.1850000000000001</v>
      </c>
      <c r="J7" s="2">
        <v>1.1850000000000001</v>
      </c>
      <c r="K7" s="2">
        <v>1.1850000000000001</v>
      </c>
      <c r="L7" s="2">
        <v>1.1850000000000001</v>
      </c>
      <c r="M7" s="2">
        <v>1.1850000000000001</v>
      </c>
      <c r="N7" s="2">
        <v>1.1850000000000001</v>
      </c>
      <c r="O7" s="2">
        <v>1.1850000000000001</v>
      </c>
      <c r="P7" s="2">
        <v>1.1850000000000001</v>
      </c>
      <c r="Q7" s="2">
        <v>1.1850000000000001</v>
      </c>
    </row>
    <row r="8" spans="1:17" x14ac:dyDescent="0.3">
      <c r="A8" s="1"/>
      <c r="B8" s="7" t="s">
        <v>10</v>
      </c>
      <c r="C8" s="7">
        <v>1004.4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x14ac:dyDescent="0.3">
      <c r="A10" s="1"/>
      <c r="B10" s="21" t="s">
        <v>11</v>
      </c>
      <c r="C10" s="21">
        <v>135000</v>
      </c>
      <c r="D10" s="1"/>
      <c r="E10" s="1"/>
      <c r="F10" s="2" t="s">
        <v>12</v>
      </c>
      <c r="G10" s="5">
        <f>G4*G7*G13</f>
        <v>1.3663165238514254</v>
      </c>
      <c r="H10" s="5">
        <f t="shared" ref="H10:Q10" si="3">H4*H7*H13</f>
        <v>1.3663197670643263</v>
      </c>
      <c r="I10" s="5">
        <f t="shared" si="3"/>
        <v>1.3665020425140293</v>
      </c>
      <c r="J10" s="5">
        <f t="shared" si="3"/>
        <v>1.3667666214711018</v>
      </c>
      <c r="K10" s="5">
        <f t="shared" si="3"/>
        <v>1.3670804272061059</v>
      </c>
      <c r="L10" s="5">
        <f t="shared" si="3"/>
        <v>1.3674069190133782</v>
      </c>
      <c r="M10" s="5">
        <f t="shared" si="3"/>
        <v>1.3677090959522973</v>
      </c>
      <c r="N10" s="6">
        <f t="shared" si="3"/>
        <v>1.3679543599839599</v>
      </c>
      <c r="O10" s="5">
        <f t="shared" si="3"/>
        <v>1.3681211846855306</v>
      </c>
      <c r="P10" s="5">
        <f t="shared" si="3"/>
        <v>1.3682064201253556</v>
      </c>
      <c r="Q10" s="5">
        <f t="shared" si="3"/>
        <v>1.3682298874393872</v>
      </c>
    </row>
    <row r="11" spans="1:17" x14ac:dyDescent="0.3">
      <c r="A11" s="1"/>
      <c r="B11" s="21" t="s">
        <v>13</v>
      </c>
      <c r="C11" s="21">
        <v>288.16000000000003</v>
      </c>
      <c r="D11" s="1"/>
      <c r="E11" s="1"/>
      <c r="F11" s="2" t="s">
        <v>14</v>
      </c>
      <c r="G11" s="2">
        <v>0</v>
      </c>
      <c r="H11" s="2">
        <f>H13*(H10-I10)</f>
        <v>-1.1582041647454057E-2</v>
      </c>
      <c r="I11" s="2">
        <f t="shared" ref="I11:P11" si="4">I13*(I10-J10)</f>
        <v>-1.8734079957256542E-2</v>
      </c>
      <c r="J11" s="2">
        <f t="shared" si="4"/>
        <v>-2.491547619513871E-2</v>
      </c>
      <c r="K11" s="2">
        <f t="shared" si="4"/>
        <v>-2.927104196555097E-2</v>
      </c>
      <c r="L11" s="2">
        <f t="shared" si="4"/>
        <v>-3.0831053631231058E-2</v>
      </c>
      <c r="M11" s="2">
        <f t="shared" si="4"/>
        <v>-2.8733155360282273E-2</v>
      </c>
      <c r="N11" s="2">
        <f t="shared" si="4"/>
        <v>-2.2670288881888406E-2</v>
      </c>
      <c r="O11" s="2">
        <f t="shared" si="4"/>
        <v>-1.3595465323413746E-2</v>
      </c>
      <c r="P11" s="2">
        <f t="shared" si="4"/>
        <v>-4.4549356265903622E-3</v>
      </c>
      <c r="Q11" s="7">
        <v>0</v>
      </c>
    </row>
    <row r="12" spans="1:17" x14ac:dyDescent="0.3">
      <c r="A12" s="1"/>
      <c r="B12" s="21" t="s">
        <v>8</v>
      </c>
      <c r="C12" s="21">
        <v>101325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x14ac:dyDescent="0.3">
      <c r="A13" s="1"/>
      <c r="B13" s="1"/>
      <c r="C13" s="1"/>
      <c r="D13" s="1"/>
      <c r="E13" s="1"/>
      <c r="F13" s="2" t="s">
        <v>6</v>
      </c>
      <c r="G13" s="7">
        <f>(H4*H5*H7)/(G4*G7)</f>
        <v>57.345999103135519</v>
      </c>
      <c r="H13" s="2">
        <f>((G6-H6)/H7+G5*H5)^0.5</f>
        <v>63.541424071804343</v>
      </c>
      <c r="I13" s="2">
        <f t="shared" ref="I13:Q13" si="5">((H6-I6)/I7+H5*I5)^0.5</f>
        <v>70.80714265616993</v>
      </c>
      <c r="J13" s="2">
        <f t="shared" si="5"/>
        <v>79.397771984047765</v>
      </c>
      <c r="K13" s="2">
        <f t="shared" si="5"/>
        <v>89.653220428711691</v>
      </c>
      <c r="L13" s="2">
        <f t="shared" si="5"/>
        <v>102.02980327193542</v>
      </c>
      <c r="M13" s="2">
        <f t="shared" si="5"/>
        <v>117.15193281912278</v>
      </c>
      <c r="N13" s="2">
        <f t="shared" si="5"/>
        <v>135.89287838336543</v>
      </c>
      <c r="O13" s="2">
        <f t="shared" si="5"/>
        <v>159.50484154612215</v>
      </c>
      <c r="P13" s="2">
        <f t="shared" si="5"/>
        <v>189.83576989662194</v>
      </c>
      <c r="Q13" s="2">
        <f t="shared" si="5"/>
        <v>229.70522138401481</v>
      </c>
    </row>
    <row r="14" spans="1:17" x14ac:dyDescent="0.3">
      <c r="A14" s="1"/>
      <c r="B14" s="25" t="s">
        <v>15</v>
      </c>
      <c r="C14" s="25">
        <v>2000</v>
      </c>
      <c r="D14" s="1">
        <v>2000</v>
      </c>
      <c r="E14" s="1"/>
      <c r="F14" s="2" t="s">
        <v>8</v>
      </c>
      <c r="G14" s="7">
        <f>C10-(G7*G13^2)/2</f>
        <v>133051.52605921644</v>
      </c>
      <c r="H14" s="2">
        <f>H6+H11</f>
        <v>132585.00887496024</v>
      </c>
      <c r="I14" s="2">
        <f t="shared" ref="I14:Q14" si="6">I6+I11</f>
        <v>131975.33222654188</v>
      </c>
      <c r="J14" s="2">
        <f t="shared" si="6"/>
        <v>131167.0237309454</v>
      </c>
      <c r="K14" s="2">
        <f t="shared" si="6"/>
        <v>130077.43846014728</v>
      </c>
      <c r="L14" s="2">
        <f t="shared" si="6"/>
        <v>128580.98395327538</v>
      </c>
      <c r="M14" s="2">
        <f t="shared" si="6"/>
        <v>126481.59628678391</v>
      </c>
      <c r="N14" s="2">
        <f t="shared" si="6"/>
        <v>123463.63627072446</v>
      </c>
      <c r="O14" s="2">
        <f t="shared" si="6"/>
        <v>119000.62894825015</v>
      </c>
      <c r="P14" s="2">
        <f t="shared" si="6"/>
        <v>112177.50418921013</v>
      </c>
      <c r="Q14" s="7">
        <f t="shared" si="6"/>
        <v>101325</v>
      </c>
    </row>
    <row r="15" spans="1:17" x14ac:dyDescent="0.3">
      <c r="A15" s="1"/>
      <c r="B15" s="1"/>
      <c r="C15" s="1"/>
      <c r="D15" s="1"/>
      <c r="E15" s="1"/>
      <c r="F15" s="2" t="s">
        <v>9</v>
      </c>
      <c r="G15" s="2">
        <f>1.185</f>
        <v>1.1850000000000001</v>
      </c>
      <c r="H15" s="2">
        <f t="shared" ref="H15:Q15" si="7">1.185</f>
        <v>1.1850000000000001</v>
      </c>
      <c r="I15" s="2">
        <f t="shared" si="7"/>
        <v>1.1850000000000001</v>
      </c>
      <c r="J15" s="2">
        <f t="shared" si="7"/>
        <v>1.1850000000000001</v>
      </c>
      <c r="K15" s="2">
        <f t="shared" si="7"/>
        <v>1.1850000000000001</v>
      </c>
      <c r="L15" s="2">
        <f t="shared" si="7"/>
        <v>1.1850000000000001</v>
      </c>
      <c r="M15" s="2">
        <f t="shared" si="7"/>
        <v>1.1850000000000001</v>
      </c>
      <c r="N15" s="2">
        <f t="shared" si="7"/>
        <v>1.1850000000000001</v>
      </c>
      <c r="O15" s="2">
        <f t="shared" si="7"/>
        <v>1.1850000000000001</v>
      </c>
      <c r="P15" s="2">
        <f t="shared" si="7"/>
        <v>1.1850000000000001</v>
      </c>
      <c r="Q15" s="2">
        <f t="shared" si="7"/>
        <v>1.1850000000000001</v>
      </c>
    </row>
    <row r="16" spans="1:17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x14ac:dyDescent="0.3">
      <c r="A17" s="1"/>
      <c r="B17" s="1"/>
      <c r="C17" s="1"/>
      <c r="D17" s="1"/>
      <c r="E17" s="1"/>
      <c r="F17" s="2" t="s">
        <v>17</v>
      </c>
      <c r="G17" s="2">
        <f>$C$11-(G13^2)/(2*$C$8)</f>
        <v>286.52292133953767</v>
      </c>
      <c r="H17" s="2">
        <f t="shared" ref="H17:Q17" si="8">$C$11-(H13^2)/(2*$C$8)</f>
        <v>286.15008732921507</v>
      </c>
      <c r="I17" s="2">
        <f t="shared" si="8"/>
        <v>285.66415598808686</v>
      </c>
      <c r="J17" s="2">
        <f t="shared" si="8"/>
        <v>285.0218049601599</v>
      </c>
      <c r="K17" s="2">
        <f t="shared" si="8"/>
        <v>284.15875550914024</v>
      </c>
      <c r="L17" s="2">
        <f t="shared" si="8"/>
        <v>282.97776147166974</v>
      </c>
      <c r="M17" s="2">
        <f t="shared" si="8"/>
        <v>281.32777411227789</v>
      </c>
      <c r="N17" s="2">
        <f t="shared" si="8"/>
        <v>278.96701194976299</v>
      </c>
      <c r="O17" s="2">
        <f t="shared" si="8"/>
        <v>275.49482951182125</v>
      </c>
      <c r="P17" s="2">
        <f t="shared" si="8"/>
        <v>270.22012568088252</v>
      </c>
      <c r="Q17" s="2">
        <f t="shared" si="8"/>
        <v>261.89332898691794</v>
      </c>
    </row>
    <row r="18" spans="1:17" x14ac:dyDescent="0.3">
      <c r="A18" s="1"/>
      <c r="B18" s="1"/>
      <c r="C18" s="1"/>
      <c r="D18" s="1"/>
      <c r="E18" s="1"/>
      <c r="F18" s="2" t="s">
        <v>18</v>
      </c>
      <c r="G18" s="2">
        <f>SQRT($C$7*$C$6*G17)</f>
        <v>339.28406696411446</v>
      </c>
      <c r="H18" s="2">
        <f t="shared" ref="H18:Q18" si="9">SQRT($C$7*$C$6*H17)</f>
        <v>339.06325074454071</v>
      </c>
      <c r="I18" s="2">
        <f t="shared" si="9"/>
        <v>338.77523498788776</v>
      </c>
      <c r="J18" s="2">
        <f t="shared" si="9"/>
        <v>338.39413171365396</v>
      </c>
      <c r="K18" s="2">
        <f t="shared" si="9"/>
        <v>337.88141254048969</v>
      </c>
      <c r="L18" s="2">
        <f t="shared" si="9"/>
        <v>337.17854592347243</v>
      </c>
      <c r="M18" s="2">
        <f t="shared" si="9"/>
        <v>336.19409808854175</v>
      </c>
      <c r="N18" s="2">
        <f t="shared" si="9"/>
        <v>334.78053989822394</v>
      </c>
      <c r="O18" s="2">
        <f t="shared" si="9"/>
        <v>332.69058162282397</v>
      </c>
      <c r="P18" s="2">
        <f t="shared" si="9"/>
        <v>329.49029404468337</v>
      </c>
      <c r="Q18" s="2">
        <f t="shared" si="9"/>
        <v>324.37397147189125</v>
      </c>
    </row>
    <row r="19" spans="1:17" x14ac:dyDescent="0.3">
      <c r="A19" s="1"/>
      <c r="B19" s="1"/>
      <c r="C19" s="1"/>
      <c r="D19" s="1"/>
      <c r="E19" s="1"/>
      <c r="F19" s="2" t="s">
        <v>19</v>
      </c>
      <c r="G19" s="2">
        <f>G13/G18</f>
        <v>0.16902060746990785</v>
      </c>
      <c r="H19" s="2">
        <f t="shared" ref="H19:Q19" si="10">H13/H18</f>
        <v>0.18740286342526147</v>
      </c>
      <c r="I19" s="2">
        <f t="shared" si="10"/>
        <v>0.20900920534731973</v>
      </c>
      <c r="J19" s="2">
        <f t="shared" si="10"/>
        <v>0.23463105456933112</v>
      </c>
      <c r="K19" s="2">
        <f t="shared" si="10"/>
        <v>0.26533930870780936</v>
      </c>
      <c r="L19" s="2">
        <f t="shared" si="10"/>
        <v>0.30259874035726037</v>
      </c>
      <c r="M19" s="2">
        <f t="shared" si="10"/>
        <v>0.34846516784559695</v>
      </c>
      <c r="N19" s="2">
        <f t="shared" si="10"/>
        <v>0.40591630094353154</v>
      </c>
      <c r="O19" s="2">
        <f t="shared" si="10"/>
        <v>0.47943900536070794</v>
      </c>
      <c r="P19" s="2">
        <f t="shared" si="10"/>
        <v>0.57614980874331201</v>
      </c>
      <c r="Q19" s="2">
        <f t="shared" si="10"/>
        <v>0.70814936334655942</v>
      </c>
    </row>
    <row r="20" spans="1:17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3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</row>
    <row r="22" spans="1:17" x14ac:dyDescent="0.3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</row>
    <row r="23" spans="1:17" x14ac:dyDescent="0.3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</row>
    <row r="24" spans="1:17" x14ac:dyDescent="0.3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</row>
    <row r="25" spans="1:17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</row>
    <row r="26" spans="1:17" x14ac:dyDescent="0.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</row>
    <row r="27" spans="1:17" x14ac:dyDescent="0.3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</row>
    <row r="28" spans="1:17" x14ac:dyDescent="0.3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</row>
    <row r="29" spans="1:17" x14ac:dyDescent="0.3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</row>
    <row r="30" spans="1:17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</row>
    <row r="31" spans="1:17" x14ac:dyDescent="0.3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</row>
    <row r="32" spans="1:17" x14ac:dyDescent="0.3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</row>
    <row r="33" spans="1:17" x14ac:dyDescent="0.3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</row>
    <row r="34" spans="1:17" x14ac:dyDescent="0.3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</row>
    <row r="35" spans="1:17" x14ac:dyDescent="0.3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</row>
    <row r="36" spans="1:17" x14ac:dyDescent="0.3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</row>
    <row r="37" spans="1:17" x14ac:dyDescent="0.3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</row>
    <row r="38" spans="1:17" x14ac:dyDescent="0.3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</row>
    <row r="39" spans="1:17" x14ac:dyDescent="0.3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</row>
    <row r="40" spans="1:17" x14ac:dyDescent="0.3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</row>
    <row r="41" spans="1:17" x14ac:dyDescent="0.3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</row>
    <row r="42" spans="1:17" x14ac:dyDescent="0.3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</row>
    <row r="43" spans="1:17" x14ac:dyDescent="0.3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</row>
    <row r="44" spans="1:17" x14ac:dyDescent="0.3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</row>
    <row r="45" spans="1:17" x14ac:dyDescent="0.3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</row>
    <row r="46" spans="1:17" x14ac:dyDescent="0.3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</row>
    <row r="47" spans="1:17" x14ac:dyDescent="0.3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</row>
    <row r="48" spans="1:17" x14ac:dyDescent="0.3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</row>
    <row r="49" spans="1:17" x14ac:dyDescent="0.3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</row>
    <row r="50" spans="1:17" x14ac:dyDescent="0.3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</row>
    <row r="51" spans="1:17" x14ac:dyDescent="0.3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</row>
    <row r="52" spans="1:17" x14ac:dyDescent="0.3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</row>
    <row r="53" spans="1:17" x14ac:dyDescent="0.3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</row>
    <row r="54" spans="1:17" x14ac:dyDescent="0.3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</row>
    <row r="55" spans="1:17" x14ac:dyDescent="0.3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Naumov">
                <anchor moveWithCells="1" sizeWithCells="1">
                  <from>
                    <xdr:col>1</xdr:col>
                    <xdr:colOff>0</xdr:colOff>
                    <xdr:row>14</xdr:row>
                    <xdr:rowOff>175260</xdr:rowOff>
                  </from>
                  <to>
                    <xdr:col>4</xdr:col>
                    <xdr:colOff>15240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Q30"/>
  <sheetViews>
    <sheetView topLeftCell="A4" zoomScale="50" zoomScaleNormal="50" workbookViewId="0">
      <selection activeCell="S43" sqref="S43"/>
    </sheetView>
  </sheetViews>
  <sheetFormatPr defaultRowHeight="14.4" x14ac:dyDescent="0.3"/>
  <sheetData>
    <row r="1" spans="2:17" x14ac:dyDescent="0.3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 x14ac:dyDescent="0.3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 x14ac:dyDescent="0.3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 x14ac:dyDescent="0.3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 x14ac:dyDescent="0.3">
      <c r="F5" s="9" t="s">
        <v>6</v>
      </c>
      <c r="G5" s="9">
        <v>42.000601074920588</v>
      </c>
      <c r="H5" s="9">
        <v>46.626761446180375</v>
      </c>
      <c r="I5" s="9">
        <v>52.082065218442388</v>
      </c>
      <c r="J5" s="9">
        <v>58.586963340577647</v>
      </c>
      <c r="K5" s="9">
        <v>66.446388530669395</v>
      </c>
      <c r="L5" s="9">
        <v>76.096687409842389</v>
      </c>
      <c r="M5" s="9">
        <v>88.191114129928906</v>
      </c>
      <c r="N5" s="9">
        <v>103.77219350930196</v>
      </c>
      <c r="O5" s="9">
        <v>124.67536642759829</v>
      </c>
      <c r="P5" s="9">
        <v>154.73849371398734</v>
      </c>
      <c r="Q5" s="9">
        <v>205.8782124382524</v>
      </c>
    </row>
    <row r="6" spans="2:17" x14ac:dyDescent="0.3">
      <c r="B6" s="13" t="s">
        <v>7</v>
      </c>
      <c r="C6" s="13">
        <v>1.4</v>
      </c>
      <c r="F6" s="9" t="s">
        <v>8</v>
      </c>
      <c r="G6" s="9">
        <v>133570.95680426728</v>
      </c>
      <c r="H6" s="9">
        <v>133222.1433192009</v>
      </c>
      <c r="I6" s="9">
        <v>132763.8393956658</v>
      </c>
      <c r="J6" s="9">
        <v>132151.1756941507</v>
      </c>
      <c r="K6" s="9">
        <v>131315.51465663401</v>
      </c>
      <c r="L6" s="9">
        <v>130148.06698347302</v>
      </c>
      <c r="M6" s="9">
        <v>128468.45776070279</v>
      </c>
      <c r="N6" s="9">
        <v>125958.94302371657</v>
      </c>
      <c r="O6" s="9">
        <v>122007.74724965771</v>
      </c>
      <c r="P6" s="9">
        <v>115244.93139258264</v>
      </c>
      <c r="Q6" s="9">
        <v>101325</v>
      </c>
    </row>
    <row r="7" spans="2:17" x14ac:dyDescent="0.3">
      <c r="B7" s="13" t="s">
        <v>3</v>
      </c>
      <c r="C7" s="13">
        <v>286.97199999999998</v>
      </c>
      <c r="F7" s="9" t="s">
        <v>9</v>
      </c>
      <c r="G7" s="9">
        <v>1.6201840065563027</v>
      </c>
      <c r="H7" s="9">
        <v>1.6171018785631039</v>
      </c>
      <c r="I7" s="9">
        <v>1.6130450172502637</v>
      </c>
      <c r="J7" s="9">
        <v>1.6076100257191284</v>
      </c>
      <c r="K7" s="9">
        <v>1.6001769991525365</v>
      </c>
      <c r="L7" s="9">
        <v>1.5897576930697142</v>
      </c>
      <c r="M7" s="9">
        <v>1.5747011799659605</v>
      </c>
      <c r="N7" s="9">
        <v>1.5520697153883405</v>
      </c>
      <c r="O7" s="9">
        <v>1.516127369659569</v>
      </c>
      <c r="P7" s="9">
        <v>1.4537677948981527</v>
      </c>
      <c r="Q7" s="9">
        <v>1.3221123787017934</v>
      </c>
    </row>
    <row r="8" spans="2:17" x14ac:dyDescent="0.3">
      <c r="B8" s="13" t="s">
        <v>10</v>
      </c>
      <c r="C8" s="13">
        <v>1004.4</v>
      </c>
    </row>
    <row r="10" spans="2:17" x14ac:dyDescent="0.3">
      <c r="B10" s="22" t="s">
        <v>11</v>
      </c>
      <c r="C10" s="22">
        <v>135000</v>
      </c>
      <c r="F10" s="9" t="s">
        <v>12</v>
      </c>
      <c r="G10" s="10">
        <f t="shared" ref="G10:Q10" si="3">G4*G7*G13</f>
        <v>1.3682003292675637</v>
      </c>
      <c r="H10" s="10">
        <f t="shared" si="3"/>
        <v>1.3682003212908143</v>
      </c>
      <c r="I10" s="10">
        <f t="shared" si="3"/>
        <v>1.3681998800635657</v>
      </c>
      <c r="J10" s="10">
        <f t="shared" si="3"/>
        <v>1.3681993824704664</v>
      </c>
      <c r="K10" s="10">
        <f t="shared" si="3"/>
        <v>1.3681988575771811</v>
      </c>
      <c r="L10" s="10">
        <f t="shared" si="3"/>
        <v>1.3681983387589283</v>
      </c>
      <c r="M10" s="10">
        <f t="shared" si="3"/>
        <v>1.3681978620777049</v>
      </c>
      <c r="N10" s="10">
        <f t="shared" si="3"/>
        <v>1.3681974630379561</v>
      </c>
      <c r="O10" s="10">
        <f t="shared" si="3"/>
        <v>1.3681971710606182</v>
      </c>
      <c r="P10" s="10">
        <f t="shared" si="3"/>
        <v>1.3681970011131772</v>
      </c>
      <c r="Q10" s="10">
        <f t="shared" si="3"/>
        <v>1.3681969423888067</v>
      </c>
    </row>
    <row r="11" spans="2:17" x14ac:dyDescent="0.3">
      <c r="B11" s="22" t="s">
        <v>13</v>
      </c>
      <c r="C11" s="22">
        <v>288.16000000000003</v>
      </c>
      <c r="F11" s="9" t="s">
        <v>14</v>
      </c>
      <c r="G11" s="12">
        <v>0</v>
      </c>
      <c r="H11" s="12">
        <f>(H13)*(H10-I10)</f>
        <v>2.0572997540142868E-5</v>
      </c>
      <c r="I11" s="12">
        <f t="shared" ref="I11:P11" si="4">(I13)*(I10-J10)</f>
        <v>2.5915676103055579E-5</v>
      </c>
      <c r="J11" s="12">
        <f t="shared" si="4"/>
        <v>3.075190349319598E-5</v>
      </c>
      <c r="K11" s="12">
        <f t="shared" si="4"/>
        <v>3.4473599035432498E-5</v>
      </c>
      <c r="L11" s="12">
        <f t="shared" si="4"/>
        <v>3.6273861905813143E-5</v>
      </c>
      <c r="M11" s="12">
        <f t="shared" si="4"/>
        <v>3.519175992407785E-5</v>
      </c>
      <c r="N11" s="12">
        <f t="shared" si="4"/>
        <v>3.0299128745147751E-5</v>
      </c>
      <c r="O11" s="12">
        <f t="shared" si="4"/>
        <v>2.1188259457878824E-5</v>
      </c>
      <c r="P11" s="12">
        <f t="shared" si="4"/>
        <v>9.0869206277988695E-6</v>
      </c>
      <c r="Q11" s="13">
        <v>0</v>
      </c>
    </row>
    <row r="12" spans="2:17" x14ac:dyDescent="0.3">
      <c r="B12" s="22" t="s">
        <v>8</v>
      </c>
      <c r="C12" s="22">
        <v>101325</v>
      </c>
    </row>
    <row r="13" spans="2:17" x14ac:dyDescent="0.3">
      <c r="F13" s="9" t="s">
        <v>6</v>
      </c>
      <c r="G13" s="13">
        <f>(H4*H5*H7)/(G4*G7)</f>
        <v>42.000600831007439</v>
      </c>
      <c r="H13" s="14">
        <f t="shared" ref="H13:Q13" si="5">((G6-H6)/H7+G5*H5)^0.5</f>
        <v>46.626761174341532</v>
      </c>
      <c r="I13" s="14">
        <f t="shared" si="5"/>
        <v>52.08206491361527</v>
      </c>
      <c r="J13" s="14">
        <f t="shared" si="5"/>
        <v>58.586963018098594</v>
      </c>
      <c r="K13" s="14">
        <f t="shared" si="5"/>
        <v>66.446388208458643</v>
      </c>
      <c r="L13" s="14">
        <f t="shared" si="5"/>
        <v>76.096687107612652</v>
      </c>
      <c r="M13" s="14">
        <f t="shared" si="5"/>
        <v>88.191113867579375</v>
      </c>
      <c r="N13" s="14">
        <f t="shared" si="5"/>
        <v>103.77219330417552</v>
      </c>
      <c r="O13" s="14">
        <f t="shared" si="5"/>
        <v>124.67536629031191</v>
      </c>
      <c r="P13" s="14">
        <f t="shared" si="5"/>
        <v>154.73849364263037</v>
      </c>
      <c r="Q13" s="14">
        <f t="shared" si="5"/>
        <v>205.87821240866614</v>
      </c>
    </row>
    <row r="14" spans="2:17" x14ac:dyDescent="0.3">
      <c r="B14" s="23" t="s">
        <v>15</v>
      </c>
      <c r="C14" s="23">
        <v>2000</v>
      </c>
      <c r="D14">
        <v>2000</v>
      </c>
      <c r="F14" s="9" t="s">
        <v>8</v>
      </c>
      <c r="G14" s="15">
        <f>C10-(G7*G13^2)/2</f>
        <v>133570.95682073975</v>
      </c>
      <c r="H14" s="16">
        <f>H6+H11</f>
        <v>133222.1433397739</v>
      </c>
      <c r="I14" s="16">
        <f t="shared" ref="I14:Q14" si="6">I6+I11</f>
        <v>132763.83942158148</v>
      </c>
      <c r="J14" s="16">
        <f t="shared" si="6"/>
        <v>132151.1757249026</v>
      </c>
      <c r="K14" s="16">
        <f t="shared" si="6"/>
        <v>131315.51469110762</v>
      </c>
      <c r="L14" s="16">
        <f t="shared" si="6"/>
        <v>130148.06701974689</v>
      </c>
      <c r="M14" s="16">
        <f t="shared" si="6"/>
        <v>128468.45779589454</v>
      </c>
      <c r="N14" s="16">
        <f t="shared" si="6"/>
        <v>125958.94305401569</v>
      </c>
      <c r="O14" s="16">
        <f t="shared" si="6"/>
        <v>122007.74727084597</v>
      </c>
      <c r="P14" s="16">
        <f t="shared" si="6"/>
        <v>115244.93140166956</v>
      </c>
      <c r="Q14" s="15">
        <f t="shared" si="6"/>
        <v>101325</v>
      </c>
    </row>
    <row r="15" spans="2:17" x14ac:dyDescent="0.3">
      <c r="F15" s="9" t="s">
        <v>9</v>
      </c>
      <c r="G15" s="10">
        <f>G14/($C$7*G17)</f>
        <v>1.6201840066985871</v>
      </c>
      <c r="H15" s="10">
        <f t="shared" ref="H15:Q15" si="7">H14/($C$7*H17)</f>
        <v>1.6171018787417422</v>
      </c>
      <c r="I15" s="10">
        <f t="shared" si="7"/>
        <v>1.6130450174762354</v>
      </c>
      <c r="J15" s="10">
        <f t="shared" si="7"/>
        <v>1.6076100259876565</v>
      </c>
      <c r="K15" s="10">
        <f t="shared" si="7"/>
        <v>1.6001769994533437</v>
      </c>
      <c r="L15" s="10">
        <f t="shared" si="7"/>
        <v>1.5897576933851962</v>
      </c>
      <c r="M15" s="10">
        <f t="shared" si="7"/>
        <v>1.5747011802697271</v>
      </c>
      <c r="N15" s="10">
        <f t="shared" si="7"/>
        <v>1.552069715645374</v>
      </c>
      <c r="O15" s="10">
        <f t="shared" si="7"/>
        <v>1.5161273698307294</v>
      </c>
      <c r="P15" s="10">
        <f t="shared" si="7"/>
        <v>1.4537677949549261</v>
      </c>
      <c r="Q15" s="10">
        <f t="shared" si="7"/>
        <v>1.3221123786717703</v>
      </c>
    </row>
    <row r="17" spans="6:17" x14ac:dyDescent="0.3">
      <c r="F17" s="9" t="s">
        <v>17</v>
      </c>
      <c r="G17" s="14">
        <f>$C$11-(G13^2)/(2*$C$8)</f>
        <v>287.28183867474831</v>
      </c>
      <c r="H17" s="14">
        <f t="shared" ref="H17:Q17" si="8">$C$11-(H13^2)/(2*$C$8)</f>
        <v>287.07773453922289</v>
      </c>
      <c r="I17" s="14">
        <f t="shared" si="8"/>
        <v>286.80967070606033</v>
      </c>
      <c r="J17" s="14">
        <f t="shared" si="8"/>
        <v>286.4513021526862</v>
      </c>
      <c r="K17" s="14">
        <f t="shared" si="8"/>
        <v>285.96210946537775</v>
      </c>
      <c r="L17" s="14">
        <f t="shared" si="8"/>
        <v>285.27733084988358</v>
      </c>
      <c r="M17" s="14">
        <f t="shared" si="8"/>
        <v>284.28819963898633</v>
      </c>
      <c r="N17" s="14">
        <f t="shared" si="8"/>
        <v>282.79925323419002</v>
      </c>
      <c r="O17" s="14">
        <f t="shared" si="8"/>
        <v>280.42207339724047</v>
      </c>
      <c r="P17" s="14">
        <f t="shared" si="8"/>
        <v>276.24044533313901</v>
      </c>
      <c r="Q17" s="14">
        <f t="shared" si="8"/>
        <v>267.05992117453815</v>
      </c>
    </row>
    <row r="18" spans="6:17" x14ac:dyDescent="0.3">
      <c r="F18" s="9" t="s">
        <v>18</v>
      </c>
      <c r="G18" s="17">
        <f>SQRT($C$6*$C$7*G17)</f>
        <v>339.73310308452108</v>
      </c>
      <c r="H18" s="17">
        <f t="shared" ref="H18:Q18" si="9">SQRT($C$6*$C$7*H17)</f>
        <v>339.61239713924726</v>
      </c>
      <c r="I18" s="17">
        <f t="shared" si="9"/>
        <v>339.45380061298971</v>
      </c>
      <c r="J18" s="17">
        <f t="shared" si="9"/>
        <v>339.24166064017686</v>
      </c>
      <c r="K18" s="17">
        <f t="shared" si="9"/>
        <v>338.95186364511659</v>
      </c>
      <c r="L18" s="17">
        <f t="shared" si="9"/>
        <v>338.54578518143433</v>
      </c>
      <c r="M18" s="17">
        <f t="shared" si="9"/>
        <v>337.95836210621991</v>
      </c>
      <c r="N18" s="17">
        <f t="shared" si="9"/>
        <v>337.07217953840501</v>
      </c>
      <c r="O18" s="17">
        <f t="shared" si="9"/>
        <v>335.6524937278644</v>
      </c>
      <c r="P18" s="17">
        <f t="shared" si="9"/>
        <v>333.14048434466531</v>
      </c>
      <c r="Q18" s="17">
        <f t="shared" si="9"/>
        <v>327.55794537611109</v>
      </c>
    </row>
    <row r="19" spans="6:17" x14ac:dyDescent="0.3">
      <c r="F19" s="9" t="s">
        <v>19</v>
      </c>
      <c r="G19" s="12">
        <f>G13/G18</f>
        <v>0.12362822595052872</v>
      </c>
      <c r="H19" s="12">
        <f t="shared" ref="H19:Q19" si="10">H13/H18</f>
        <v>0.13729404923702979</v>
      </c>
      <c r="I19" s="12">
        <f t="shared" si="10"/>
        <v>0.15342902279946449</v>
      </c>
      <c r="J19" s="12">
        <f t="shared" si="10"/>
        <v>0.17269978842675215</v>
      </c>
      <c r="K19" s="12">
        <f t="shared" si="10"/>
        <v>0.19603488086446449</v>
      </c>
      <c r="L19" s="12">
        <f t="shared" si="10"/>
        <v>0.22477517204011482</v>
      </c>
      <c r="M19" s="12">
        <f t="shared" si="10"/>
        <v>0.26095260172867396</v>
      </c>
      <c r="N19" s="12">
        <f t="shared" si="10"/>
        <v>0.3078634179963583</v>
      </c>
      <c r="O19" s="12">
        <f t="shared" si="10"/>
        <v>0.3714417995398373</v>
      </c>
      <c r="P19" s="12">
        <f t="shared" si="10"/>
        <v>0.46448420685652475</v>
      </c>
      <c r="Q19" s="12">
        <f t="shared" si="10"/>
        <v>0.62852455669262153</v>
      </c>
    </row>
    <row r="20" spans="6:17" x14ac:dyDescent="0.3">
      <c r="F20" s="9" t="s">
        <v>20</v>
      </c>
      <c r="G20" s="9">
        <f>1-((($C$6-1)/($C$6+1))*G21^2)</f>
        <v>0.99703388032944862</v>
      </c>
      <c r="H20" s="9">
        <f t="shared" ref="H20:Q20" si="11">1-((($C$6-1)/($C$6+1))*H21^2)</f>
        <v>0.9963670293042457</v>
      </c>
      <c r="I20" s="9">
        <f t="shared" si="11"/>
        <v>0.99550360161071294</v>
      </c>
      <c r="J20" s="9">
        <f t="shared" si="11"/>
        <v>0.9943707441680717</v>
      </c>
      <c r="K20" s="9">
        <f t="shared" si="11"/>
        <v>0.99286263808730046</v>
      </c>
      <c r="L20" s="9">
        <f t="shared" si="11"/>
        <v>0.99082258191009576</v>
      </c>
      <c r="M20" s="9">
        <f t="shared" si="11"/>
        <v>0.98801325319284194</v>
      </c>
      <c r="N20" s="9">
        <f t="shared" si="11"/>
        <v>0.98406471256549299</v>
      </c>
      <c r="O20" s="9">
        <f t="shared" si="11"/>
        <v>0.97837371280008245</v>
      </c>
      <c r="P20" s="9">
        <f t="shared" si="11"/>
        <v>0.96985722511962258</v>
      </c>
      <c r="Q20" s="9">
        <f t="shared" si="11"/>
        <v>0.95586323046793509</v>
      </c>
    </row>
    <row r="21" spans="6:17" x14ac:dyDescent="0.3">
      <c r="F21" s="9" t="s">
        <v>21</v>
      </c>
      <c r="G21" s="9">
        <f>SQRT(((($C$6+1)/2)*G19^2)/(1+2*G19^2))</f>
        <v>0.13340434034658896</v>
      </c>
      <c r="H21" s="9">
        <f>SQRT(((($C$6+1)/2)*H19^2)/(1+2*H19^2))</f>
        <v>0.1476408621436692</v>
      </c>
      <c r="I21" s="9">
        <f t="shared" ref="I21:Q21" si="12">SQRT(((($C$6+1)/2)*I19^2)/(1+2*I19^2))</f>
        <v>0.16425099797481407</v>
      </c>
      <c r="J21" s="9">
        <f t="shared" si="12"/>
        <v>0.18378121501277009</v>
      </c>
      <c r="K21" s="9">
        <f t="shared" si="12"/>
        <v>0.20694001903014664</v>
      </c>
      <c r="L21" s="9">
        <f t="shared" si="12"/>
        <v>0.2346582803555535</v>
      </c>
      <c r="M21" s="9">
        <f t="shared" si="12"/>
        <v>0.26817994116441396</v>
      </c>
      <c r="N21" s="9">
        <f t="shared" si="12"/>
        <v>0.30921145613809642</v>
      </c>
      <c r="O21" s="9">
        <f t="shared" si="12"/>
        <v>0.36021899339083352</v>
      </c>
      <c r="P21" s="9">
        <f t="shared" si="12"/>
        <v>0.42527244124474417</v>
      </c>
      <c r="Q21" s="9">
        <f t="shared" si="12"/>
        <v>0.51460724556926829</v>
      </c>
    </row>
    <row r="22" spans="6:17" x14ac:dyDescent="0.3">
      <c r="F22" s="9" t="s">
        <v>22</v>
      </c>
      <c r="G22" s="9">
        <f>(1-((($C$6-1)/($C$6+1))*G21^2))^($C$6/($C$6-1))</f>
        <v>0.98965701475359702</v>
      </c>
      <c r="H22" s="9">
        <f t="shared" ref="H22:Q22" si="13">(1-((($C$6-1)/($C$6+1))*H21^2))^($C$6/($C$6-1))</f>
        <v>0.98734224105542545</v>
      </c>
      <c r="I22" s="9">
        <f t="shared" si="13"/>
        <v>0.98435085888494234</v>
      </c>
      <c r="J22" s="9">
        <f t="shared" si="13"/>
        <v>0.98043585193096505</v>
      </c>
      <c r="K22" s="9">
        <f t="shared" si="13"/>
        <v>0.97524130962622324</v>
      </c>
      <c r="L22" s="9">
        <f t="shared" si="13"/>
        <v>0.96824583214644011</v>
      </c>
      <c r="M22" s="9">
        <f t="shared" si="13"/>
        <v>0.95867123352037442</v>
      </c>
      <c r="N22" s="9">
        <f t="shared" si="13"/>
        <v>0.94532861847935845</v>
      </c>
      <c r="O22" s="9">
        <f t="shared" si="13"/>
        <v>0.92633210050185855</v>
      </c>
      <c r="P22" s="9">
        <f t="shared" si="13"/>
        <v>0.89841567214044826</v>
      </c>
      <c r="Q22" s="9">
        <f t="shared" si="13"/>
        <v>0.85385700398577447</v>
      </c>
    </row>
    <row r="23" spans="6:17" x14ac:dyDescent="0.3">
      <c r="F23" s="9" t="s">
        <v>11</v>
      </c>
      <c r="G23" s="9">
        <f>G14/G22</f>
        <v>134966.9176588376</v>
      </c>
      <c r="H23" s="9">
        <f t="shared" ref="H23:Q23" si="14">H14/H22</f>
        <v>134930.05545611549</v>
      </c>
      <c r="I23" s="9">
        <f t="shared" si="14"/>
        <v>134874.50965601264</v>
      </c>
      <c r="J23" s="9">
        <f t="shared" si="14"/>
        <v>134788.19186857692</v>
      </c>
      <c r="K23" s="9">
        <f t="shared" si="14"/>
        <v>134649.253876906</v>
      </c>
      <c r="L23" s="9">
        <f t="shared" si="14"/>
        <v>134416.34624053093</v>
      </c>
      <c r="M23" s="9">
        <f t="shared" si="14"/>
        <v>134006.79326127315</v>
      </c>
      <c r="N23" s="9">
        <f t="shared" si="14"/>
        <v>133243.55212754625</v>
      </c>
      <c r="O23" s="9">
        <f t="shared" si="14"/>
        <v>131710.58976013665</v>
      </c>
      <c r="P23" s="9">
        <f t="shared" si="14"/>
        <v>128275.73580400928</v>
      </c>
      <c r="Q23" s="9">
        <f t="shared" si="14"/>
        <v>118667.41096813456</v>
      </c>
    </row>
    <row r="30" spans="6:17" x14ac:dyDescent="0.3">
      <c r="J30" s="1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[0]!Naumov">
                <anchor moveWithCells="1" sizeWithCells="1">
                  <from>
                    <xdr:col>1</xdr:col>
                    <xdr:colOff>15240</xdr:colOff>
                    <xdr:row>15</xdr:row>
                    <xdr:rowOff>7620</xdr:rowOff>
                  </from>
                  <to>
                    <xdr:col>4</xdr:col>
                    <xdr:colOff>15240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1:Q19"/>
  <sheetViews>
    <sheetView zoomScale="50" zoomScaleNormal="50" workbookViewId="0">
      <selection activeCell="R40" sqref="R40"/>
    </sheetView>
  </sheetViews>
  <sheetFormatPr defaultRowHeight="14.4" x14ac:dyDescent="0.3"/>
  <sheetData>
    <row r="1" spans="2:17" x14ac:dyDescent="0.3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 x14ac:dyDescent="0.3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 x14ac:dyDescent="0.3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 x14ac:dyDescent="0.3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 x14ac:dyDescent="0.3">
      <c r="F5" s="9" t="s">
        <v>6</v>
      </c>
      <c r="G5" s="9">
        <v>18.971455776311203</v>
      </c>
      <c r="H5" s="9">
        <v>21.02100357299863</v>
      </c>
      <c r="I5" s="9">
        <v>23.421546758241181</v>
      </c>
      <c r="J5" s="9">
        <v>26.258062964201336</v>
      </c>
      <c r="K5" s="9">
        <v>29.64288847989371</v>
      </c>
      <c r="L5" s="9">
        <v>33.727017423980747</v>
      </c>
      <c r="M5" s="9">
        <v>38.717237739351916</v>
      </c>
      <c r="N5" s="9">
        <v>44.902831075546345</v>
      </c>
      <c r="O5" s="9">
        <v>52.69846135557016</v>
      </c>
      <c r="P5" s="9">
        <v>62.715524642010273</v>
      </c>
      <c r="Q5" s="9">
        <v>75.88578525174664</v>
      </c>
    </row>
    <row r="6" spans="2:17" x14ac:dyDescent="0.3">
      <c r="B6" s="22" t="s">
        <v>7</v>
      </c>
      <c r="C6" s="22">
        <v>1.4</v>
      </c>
      <c r="F6" s="9" t="s">
        <v>8</v>
      </c>
      <c r="G6" s="9">
        <v>104786.74969044352</v>
      </c>
      <c r="H6" s="9">
        <v>104735.69568468926</v>
      </c>
      <c r="I6" s="9">
        <v>104669.06973257133</v>
      </c>
      <c r="J6" s="9">
        <v>104580.80925100141</v>
      </c>
      <c r="K6" s="9">
        <v>104461.9110868548</v>
      </c>
      <c r="L6" s="9">
        <v>104298.68268516126</v>
      </c>
      <c r="M6" s="9">
        <v>104069.73174391234</v>
      </c>
      <c r="N6" s="9">
        <v>103740.59722115673</v>
      </c>
      <c r="O6" s="9">
        <v>103253.77822206651</v>
      </c>
      <c r="P6" s="9">
        <v>102509.33114784503</v>
      </c>
      <c r="Q6" s="9">
        <v>101325</v>
      </c>
    </row>
    <row r="7" spans="2:17" x14ac:dyDescent="0.3">
      <c r="B7" s="22" t="s">
        <v>3</v>
      </c>
      <c r="C7" s="22">
        <v>286.97199999999998</v>
      </c>
      <c r="F7" s="9" t="s">
        <v>9</v>
      </c>
      <c r="G7" s="9">
        <v>1.1850000000000001</v>
      </c>
      <c r="H7" s="9">
        <v>1.1850000000000001</v>
      </c>
      <c r="I7" s="9">
        <v>1.1850000000000001</v>
      </c>
      <c r="J7" s="9">
        <v>1.1850000000000001</v>
      </c>
      <c r="K7" s="9">
        <v>1.1850000000000001</v>
      </c>
      <c r="L7" s="9">
        <v>1.1850000000000001</v>
      </c>
      <c r="M7" s="9">
        <v>1.1850000000000001</v>
      </c>
      <c r="N7" s="9">
        <v>1.1850000000000001</v>
      </c>
      <c r="O7" s="9">
        <v>1.1850000000000001</v>
      </c>
      <c r="P7" s="9">
        <v>1.1850000000000001</v>
      </c>
      <c r="Q7" s="9">
        <v>1.1850000000000001</v>
      </c>
    </row>
    <row r="8" spans="2:17" x14ac:dyDescent="0.3">
      <c r="B8" s="22" t="s">
        <v>10</v>
      </c>
      <c r="C8" s="22">
        <v>1004.4</v>
      </c>
    </row>
    <row r="10" spans="2:17" x14ac:dyDescent="0.3">
      <c r="B10" s="13" t="s">
        <v>11</v>
      </c>
      <c r="C10" s="13">
        <v>105000</v>
      </c>
      <c r="F10" s="9" t="s">
        <v>12</v>
      </c>
      <c r="G10" s="10">
        <f>G4*G7*G13</f>
        <v>0.45201084371136407</v>
      </c>
      <c r="H10" s="10">
        <f>H4*H7*H13</f>
        <v>0.45201084248514894</v>
      </c>
      <c r="I10" s="10">
        <f t="shared" ref="I10:Q10" si="3">I4*I7*I13</f>
        <v>0.45201077485286445</v>
      </c>
      <c r="J10" s="10">
        <f t="shared" si="3"/>
        <v>0.45201071834618689</v>
      </c>
      <c r="K10" s="10">
        <f t="shared" si="3"/>
        <v>0.45201067414804225</v>
      </c>
      <c r="L10" s="10">
        <f t="shared" si="3"/>
        <v>0.4520106427333081</v>
      </c>
      <c r="M10" s="10">
        <f t="shared" si="3"/>
        <v>0.45201062359753369</v>
      </c>
      <c r="N10" s="10">
        <f t="shared" si="3"/>
        <v>0.45201061503429235</v>
      </c>
      <c r="O10" s="10">
        <f t="shared" si="3"/>
        <v>0.45201061408601589</v>
      </c>
      <c r="P10" s="10">
        <f t="shared" si="3"/>
        <v>0.45201061686254995</v>
      </c>
      <c r="Q10" s="10">
        <f t="shared" si="3"/>
        <v>0.4520106194487214</v>
      </c>
    </row>
    <row r="11" spans="2:17" x14ac:dyDescent="0.3">
      <c r="B11" s="13" t="s">
        <v>13</v>
      </c>
      <c r="C11" s="13">
        <v>288.16000000000003</v>
      </c>
      <c r="F11" s="9" t="s">
        <v>14</v>
      </c>
      <c r="G11" s="12">
        <v>0</v>
      </c>
      <c r="H11" s="12">
        <f>(H13)*(H10-I10)</f>
        <v>1.4216984901631499E-6</v>
      </c>
      <c r="I11" s="12">
        <f t="shared" ref="I11:P11" si="4">(I13)*(I10-J10)</f>
        <v>1.3234737878439652E-6</v>
      </c>
      <c r="J11" s="12">
        <f t="shared" si="4"/>
        <v>1.1605576632098742E-6</v>
      </c>
      <c r="K11" s="12">
        <f t="shared" si="4"/>
        <v>9.3122346000919597E-7</v>
      </c>
      <c r="L11" s="12">
        <f t="shared" si="4"/>
        <v>6.4539259653351337E-7</v>
      </c>
      <c r="M11" s="12">
        <f t="shared" si="4"/>
        <v>3.3154505060561301E-7</v>
      </c>
      <c r="N11" s="12">
        <f t="shared" si="4"/>
        <v>4.2580297571704947E-8</v>
      </c>
      <c r="O11" s="12">
        <f t="shared" si="4"/>
        <v>-1.4631907276177267E-7</v>
      </c>
      <c r="P11" s="12">
        <f t="shared" si="4"/>
        <v>-1.6219309889754392E-7</v>
      </c>
      <c r="Q11" s="13">
        <v>0</v>
      </c>
    </row>
    <row r="12" spans="2:17" x14ac:dyDescent="0.3">
      <c r="B12" s="13" t="s">
        <v>8</v>
      </c>
      <c r="C12" s="13">
        <v>101325</v>
      </c>
    </row>
    <row r="13" spans="2:17" x14ac:dyDescent="0.3">
      <c r="F13" s="9" t="s">
        <v>6</v>
      </c>
      <c r="G13" s="13">
        <f>(H4*H5*H7)/(G4*G7)</f>
        <v>18.971455724631262</v>
      </c>
      <c r="H13" s="14">
        <f t="shared" ref="H13:Q13" si="5">((G6-H6)/H7+G5*H5)^0.5</f>
        <v>21.021003515972847</v>
      </c>
      <c r="I13" s="14">
        <f t="shared" si="5"/>
        <v>23.421546709326705</v>
      </c>
      <c r="J13" s="14">
        <f t="shared" si="5"/>
        <v>26.258062924428092</v>
      </c>
      <c r="K13" s="14">
        <f t="shared" si="5"/>
        <v>29.642888449763046</v>
      </c>
      <c r="L13" s="14">
        <f t="shared" si="5"/>
        <v>33.727017403258657</v>
      </c>
      <c r="M13" s="14">
        <f t="shared" si="5"/>
        <v>38.717237726899626</v>
      </c>
      <c r="N13" s="14">
        <f t="shared" si="5"/>
        <v>44.902831069280374</v>
      </c>
      <c r="O13" s="14">
        <f t="shared" si="5"/>
        <v>52.698461352696171</v>
      </c>
      <c r="P13" s="14">
        <f t="shared" si="5"/>
        <v>62.715524639686627</v>
      </c>
      <c r="Q13" s="14">
        <f t="shared" si="5"/>
        <v>75.885785248200023</v>
      </c>
    </row>
    <row r="14" spans="2:17" x14ac:dyDescent="0.3">
      <c r="B14" s="23" t="s">
        <v>15</v>
      </c>
      <c r="C14" s="23">
        <v>2000</v>
      </c>
      <c r="F14" s="9" t="s">
        <v>8</v>
      </c>
      <c r="G14" s="15">
        <f>C10-(G7*G13^2)/2</f>
        <v>104786.74969160535</v>
      </c>
      <c r="H14" s="9">
        <f>H6+H11</f>
        <v>104735.69568611095</v>
      </c>
      <c r="I14" s="9">
        <f t="shared" ref="I14:Q14" si="6">I6+I11</f>
        <v>104669.06973389479</v>
      </c>
      <c r="J14" s="9">
        <f t="shared" si="6"/>
        <v>104580.80925216197</v>
      </c>
      <c r="K14" s="9">
        <f t="shared" si="6"/>
        <v>104461.91108778602</v>
      </c>
      <c r="L14" s="9">
        <f t="shared" si="6"/>
        <v>104298.68268580665</v>
      </c>
      <c r="M14" s="9">
        <f t="shared" si="6"/>
        <v>104069.73174424389</v>
      </c>
      <c r="N14" s="9">
        <f t="shared" si="6"/>
        <v>103740.59722119931</v>
      </c>
      <c r="O14" s="9">
        <f t="shared" si="6"/>
        <v>103253.77822192019</v>
      </c>
      <c r="P14" s="9">
        <f t="shared" si="6"/>
        <v>102509.33114768284</v>
      </c>
      <c r="Q14" s="13">
        <f t="shared" si="6"/>
        <v>101325</v>
      </c>
    </row>
    <row r="15" spans="2:17" x14ac:dyDescent="0.3">
      <c r="F15" s="9" t="s">
        <v>9</v>
      </c>
      <c r="G15" s="9">
        <v>1.1850000000000001</v>
      </c>
      <c r="H15" s="9">
        <v>1.1850000000000001</v>
      </c>
      <c r="I15" s="9">
        <v>1.1850000000000001</v>
      </c>
      <c r="J15" s="9">
        <v>1.1850000000000001</v>
      </c>
      <c r="K15" s="9">
        <v>1.1850000000000001</v>
      </c>
      <c r="L15" s="9">
        <v>1.1850000000000001</v>
      </c>
      <c r="M15" s="9">
        <v>1.1850000000000001</v>
      </c>
      <c r="N15" s="9">
        <v>1.1850000000000001</v>
      </c>
      <c r="O15" s="9">
        <v>1.1850000000000001</v>
      </c>
      <c r="P15" s="9">
        <v>1.1850000000000001</v>
      </c>
      <c r="Q15" s="9">
        <v>1.1850000000000001</v>
      </c>
    </row>
    <row r="17" spans="6:17" x14ac:dyDescent="0.3">
      <c r="F17" s="9" t="s">
        <v>17</v>
      </c>
      <c r="G17" s="14">
        <f>$C$11-(G13^2)/(2*$C$8)</f>
        <v>287.9808302806095</v>
      </c>
      <c r="H17" s="14">
        <f t="shared" ref="H17:Q17" si="7">$C$11-(H13^2)/(2*$C$8)</f>
        <v>287.94002658860092</v>
      </c>
      <c r="I17" s="14">
        <f t="shared" si="7"/>
        <v>287.88691713945781</v>
      </c>
      <c r="J17" s="14">
        <f t="shared" si="7"/>
        <v>287.81676728965391</v>
      </c>
      <c r="K17" s="14">
        <f t="shared" si="7"/>
        <v>287.72257425545348</v>
      </c>
      <c r="L17" s="14">
        <f t="shared" si="7"/>
        <v>287.59373571140998</v>
      </c>
      <c r="M17" s="14">
        <f t="shared" si="7"/>
        <v>287.41377115830284</v>
      </c>
      <c r="N17" s="14">
        <f t="shared" si="7"/>
        <v>287.15628423036821</v>
      </c>
      <c r="O17" s="14">
        <f t="shared" si="7"/>
        <v>286.77751900192078</v>
      </c>
      <c r="P17" s="14">
        <f t="shared" si="7"/>
        <v>286.20199669910841</v>
      </c>
      <c r="Q17" s="14">
        <f t="shared" si="7"/>
        <v>285.29328733436085</v>
      </c>
    </row>
    <row r="18" spans="6:17" x14ac:dyDescent="0.3">
      <c r="F18" s="9" t="s">
        <v>18</v>
      </c>
      <c r="G18" s="17">
        <f>SQRT($C$6*$C$7*G17)</f>
        <v>340.14615793538206</v>
      </c>
      <c r="H18" s="17">
        <f t="shared" ref="H18:Q18" si="8">SQRT($C$6*$C$7*H17)</f>
        <v>340.12205961133657</v>
      </c>
      <c r="I18" s="17">
        <f t="shared" si="8"/>
        <v>340.09069105090526</v>
      </c>
      <c r="J18" s="17">
        <f t="shared" si="8"/>
        <v>340.04925331443559</v>
      </c>
      <c r="K18" s="17">
        <f t="shared" si="8"/>
        <v>339.99360525005523</v>
      </c>
      <c r="L18" s="17">
        <f t="shared" si="8"/>
        <v>339.91747429987271</v>
      </c>
      <c r="M18" s="17">
        <f t="shared" si="8"/>
        <v>339.81110433824358</v>
      </c>
      <c r="N18" s="17">
        <f t="shared" si="8"/>
        <v>339.65885602677889</v>
      </c>
      <c r="O18" s="17">
        <f t="shared" si="8"/>
        <v>339.43477349297444</v>
      </c>
      <c r="P18" s="17">
        <f t="shared" si="8"/>
        <v>339.09400342004153</v>
      </c>
      <c r="Q18" s="17">
        <f t="shared" si="8"/>
        <v>338.5552530298159</v>
      </c>
    </row>
    <row r="19" spans="6:17" x14ac:dyDescent="0.3">
      <c r="F19" s="9" t="s">
        <v>19</v>
      </c>
      <c r="G19" s="12">
        <f>G13/G18</f>
        <v>5.5774423088545633E-2</v>
      </c>
      <c r="H19" s="12">
        <f t="shared" ref="H19:Q19" si="9">H13/H18</f>
        <v>6.180429325870223E-2</v>
      </c>
      <c r="I19" s="12">
        <f t="shared" si="9"/>
        <v>6.8868532205196217E-2</v>
      </c>
      <c r="J19" s="12">
        <f t="shared" si="9"/>
        <v>7.7218410769888904E-2</v>
      </c>
      <c r="K19" s="12">
        <f t="shared" si="9"/>
        <v>8.7186605842076298E-2</v>
      </c>
      <c r="L19" s="12">
        <f t="shared" si="9"/>
        <v>9.9221193240289052E-2</v>
      </c>
      <c r="M19" s="12">
        <f t="shared" si="9"/>
        <v>0.11393752950568969</v>
      </c>
      <c r="N19" s="12">
        <f t="shared" si="9"/>
        <v>0.13219979480158237</v>
      </c>
      <c r="O19" s="12">
        <f t="shared" si="9"/>
        <v>0.15525357290415301</v>
      </c>
      <c r="P19" s="12">
        <f t="shared" si="9"/>
        <v>0.18495026160046787</v>
      </c>
      <c r="Q19" s="12">
        <f t="shared" si="9"/>
        <v>0.22414593945620129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Naumov">
                <anchor moveWithCells="1" sizeWithCells="1">
                  <from>
                    <xdr:col>0</xdr:col>
                    <xdr:colOff>586740</xdr:colOff>
                    <xdr:row>15</xdr:row>
                    <xdr:rowOff>22860</xdr:rowOff>
                  </from>
                  <to>
                    <xdr:col>4</xdr:col>
                    <xdr:colOff>0</xdr:colOff>
                    <xdr:row>18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B1:Q23"/>
  <sheetViews>
    <sheetView topLeftCell="A13" zoomScale="60" zoomScaleNormal="60" workbookViewId="0">
      <selection activeCell="T36" sqref="T36"/>
    </sheetView>
  </sheetViews>
  <sheetFormatPr defaultRowHeight="14.4" x14ac:dyDescent="0.3"/>
  <sheetData>
    <row r="1" spans="2:17" x14ac:dyDescent="0.3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 x14ac:dyDescent="0.3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 x14ac:dyDescent="0.3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 x14ac:dyDescent="0.3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 x14ac:dyDescent="0.3">
      <c r="F5" s="9" t="s">
        <v>6</v>
      </c>
      <c r="G5" s="9">
        <v>17.965677749011054</v>
      </c>
      <c r="H5" s="9">
        <v>19.913413805299584</v>
      </c>
      <c r="I5" s="9">
        <v>22.200045404994878</v>
      </c>
      <c r="J5" s="9">
        <v>24.90816735873263</v>
      </c>
      <c r="K5" s="9">
        <v>28.148271200498691</v>
      </c>
      <c r="L5" s="9">
        <v>32.070248179569305</v>
      </c>
      <c r="M5" s="9">
        <v>36.882190050039029</v>
      </c>
      <c r="N5" s="9">
        <v>42.881135090875794</v>
      </c>
      <c r="O5" s="9">
        <v>50.505904672857866</v>
      </c>
      <c r="P5" s="9">
        <v>60.433923409349447</v>
      </c>
      <c r="Q5" s="9">
        <v>73.774957760448117</v>
      </c>
    </row>
    <row r="6" spans="2:17" x14ac:dyDescent="0.3">
      <c r="B6" s="22" t="s">
        <v>7</v>
      </c>
      <c r="C6" s="22">
        <v>1.4</v>
      </c>
      <c r="F6" s="9" t="s">
        <v>8</v>
      </c>
      <c r="G6" s="9">
        <v>104795.37046284738</v>
      </c>
      <c r="H6" s="9">
        <v>104746.20531791639</v>
      </c>
      <c r="I6" s="9">
        <v>104681.8857714749</v>
      </c>
      <c r="J6" s="9">
        <v>104596.46859521579</v>
      </c>
      <c r="K6" s="9">
        <v>104481.07197642179</v>
      </c>
      <c r="L6" s="9">
        <v>104322.10705669131</v>
      </c>
      <c r="M6" s="9">
        <v>104098.16192725667</v>
      </c>
      <c r="N6" s="9">
        <v>103774.30941407706</v>
      </c>
      <c r="O6" s="9">
        <v>103291.16099902632</v>
      </c>
      <c r="P6" s="9">
        <v>102542.43320918738</v>
      </c>
      <c r="Q6" s="9">
        <v>101325</v>
      </c>
    </row>
    <row r="7" spans="2:17" x14ac:dyDescent="0.3">
      <c r="B7" s="22" t="s">
        <v>3</v>
      </c>
      <c r="C7" s="22">
        <v>286.97199999999998</v>
      </c>
      <c r="F7" s="9" t="s">
        <v>9</v>
      </c>
      <c r="G7" s="9">
        <v>1.2679762066181028</v>
      </c>
      <c r="H7" s="9">
        <v>1.2675429764889037</v>
      </c>
      <c r="I7" s="9">
        <v>1.2669755575208037</v>
      </c>
      <c r="J7" s="9">
        <v>1.266221046615267</v>
      </c>
      <c r="K7" s="9">
        <v>1.2652002232214405</v>
      </c>
      <c r="L7" s="9">
        <v>1.2637915969220439</v>
      </c>
      <c r="M7" s="9">
        <v>1.2618031955055427</v>
      </c>
      <c r="N7" s="9">
        <v>1.2589207925658019</v>
      </c>
      <c r="O7" s="9">
        <v>1.2546077778956615</v>
      </c>
      <c r="P7" s="9">
        <v>1.2478984257538666</v>
      </c>
      <c r="Q7" s="9">
        <v>1.2369330813723052</v>
      </c>
    </row>
    <row r="8" spans="2:17" x14ac:dyDescent="0.3">
      <c r="B8" s="22" t="s">
        <v>10</v>
      </c>
      <c r="C8" s="22">
        <v>1004.4</v>
      </c>
    </row>
    <row r="10" spans="2:17" x14ac:dyDescent="0.3">
      <c r="B10" s="13" t="s">
        <v>11</v>
      </c>
      <c r="C10" s="13">
        <v>105000</v>
      </c>
      <c r="F10" s="9" t="s">
        <v>12</v>
      </c>
      <c r="G10" s="10">
        <f t="shared" ref="G10:Q10" si="3">G4*G7*G13</f>
        <v>0.45802108266294694</v>
      </c>
      <c r="H10" s="10">
        <f t="shared" si="3"/>
        <v>0.45802205274429714</v>
      </c>
      <c r="I10" s="10">
        <f t="shared" si="3"/>
        <v>0.45807673534866261</v>
      </c>
      <c r="J10" s="10">
        <f t="shared" si="3"/>
        <v>0.45816340495744534</v>
      </c>
      <c r="K10" s="10">
        <f t="shared" si="3"/>
        <v>0.45827075232910464</v>
      </c>
      <c r="L10" s="10">
        <f t="shared" si="3"/>
        <v>0.45838593888599438</v>
      </c>
      <c r="M10" s="10">
        <f t="shared" si="3"/>
        <v>0.45849551753028378</v>
      </c>
      <c r="N10" s="10">
        <f t="shared" si="3"/>
        <v>0.45858704157640262</v>
      </c>
      <c r="O10" s="10">
        <f t="shared" si="3"/>
        <v>0.4586514358057997</v>
      </c>
      <c r="P10" s="10">
        <f t="shared" si="3"/>
        <v>0.45868587055653737</v>
      </c>
      <c r="Q10" s="10">
        <f t="shared" si="3"/>
        <v>0.4586961256338285</v>
      </c>
    </row>
    <row r="11" spans="2:17" x14ac:dyDescent="0.3">
      <c r="B11" s="13" t="s">
        <v>13</v>
      </c>
      <c r="C11" s="13">
        <v>288.16000000000003</v>
      </c>
      <c r="F11" s="9" t="s">
        <v>14</v>
      </c>
      <c r="G11" s="12">
        <v>0</v>
      </c>
      <c r="H11" s="12">
        <f>(H13)*(H10-I10)</f>
        <v>-1.0889196349907187E-3</v>
      </c>
      <c r="I11" s="12">
        <f t="shared" ref="I11:P11" si="4">(I13)*(I10-J10)</f>
        <v>-1.9240748799069811E-3</v>
      </c>
      <c r="J11" s="12">
        <f t="shared" si="4"/>
        <v>-2.6738348971043738E-3</v>
      </c>
      <c r="K11" s="12">
        <f t="shared" si="4"/>
        <v>-3.242312397185585E-3</v>
      </c>
      <c r="L11" s="12">
        <f t="shared" si="4"/>
        <v>-3.5142234567933513E-3</v>
      </c>
      <c r="M11" s="12">
        <f t="shared" si="4"/>
        <v>-3.3756138165896474E-3</v>
      </c>
      <c r="N11" s="12">
        <f t="shared" si="4"/>
        <v>-2.7613010784255558E-3</v>
      </c>
      <c r="O11" s="12">
        <f t="shared" si="4"/>
        <v>-1.7391593581165643E-3</v>
      </c>
      <c r="P11" s="12">
        <f t="shared" si="4"/>
        <v>-6.1975471239774076E-4</v>
      </c>
      <c r="Q11" s="13">
        <v>0</v>
      </c>
    </row>
    <row r="12" spans="2:17" x14ac:dyDescent="0.3">
      <c r="B12" s="13" t="s">
        <v>8</v>
      </c>
      <c r="C12" s="13">
        <v>101325</v>
      </c>
    </row>
    <row r="13" spans="2:17" x14ac:dyDescent="0.3">
      <c r="F13" s="9" t="s">
        <v>6</v>
      </c>
      <c r="G13" s="13">
        <f>(H4*H5*H7)/(G4*G7)</f>
        <v>17.96571550535436</v>
      </c>
      <c r="H13" s="14">
        <f t="shared" ref="H13:P13" si="5">((G6-H6)/H7+G5*H5)^0.5</f>
        <v>19.913455981592517</v>
      </c>
      <c r="I13" s="14">
        <f t="shared" si="5"/>
        <v>22.200110360834749</v>
      </c>
      <c r="J13" s="14">
        <f t="shared" si="5"/>
        <v>24.908247456591255</v>
      </c>
      <c r="K13" s="14">
        <f t="shared" si="5"/>
        <v>28.148357627262506</v>
      </c>
      <c r="L13" s="14">
        <f t="shared" si="5"/>
        <v>32.070331583152644</v>
      </c>
      <c r="M13" s="14">
        <f t="shared" si="5"/>
        <v>36.882261654019779</v>
      </c>
      <c r="N13" s="14">
        <f t="shared" si="5"/>
        <v>42.881188334412563</v>
      </c>
      <c r="O13" s="14">
        <f t="shared" si="5"/>
        <v>50.505937196002144</v>
      </c>
      <c r="P13" s="14">
        <f t="shared" si="5"/>
        <v>60.433938702113757</v>
      </c>
      <c r="Q13" s="14">
        <f>((P6-Q6)/Q7+P5*Q5)^0.5</f>
        <v>73.774964942658258</v>
      </c>
    </row>
    <row r="14" spans="2:17" x14ac:dyDescent="0.3">
      <c r="B14" s="23" t="s">
        <v>15</v>
      </c>
      <c r="C14" s="23">
        <v>2000</v>
      </c>
      <c r="F14" s="9" t="s">
        <v>8</v>
      </c>
      <c r="G14" s="15">
        <f>C10-(G7*G13^2)/2</f>
        <v>104795.36960394381</v>
      </c>
      <c r="H14" s="16">
        <f>H6+H11</f>
        <v>104746.20422899675</v>
      </c>
      <c r="I14" s="16">
        <f t="shared" ref="I14:Q14" si="6">I6+I11</f>
        <v>104681.88384740002</v>
      </c>
      <c r="J14" s="16">
        <f t="shared" si="6"/>
        <v>104596.46592138089</v>
      </c>
      <c r="K14" s="16">
        <f t="shared" si="6"/>
        <v>104481.0687341094</v>
      </c>
      <c r="L14" s="16">
        <f t="shared" si="6"/>
        <v>104322.10354246786</v>
      </c>
      <c r="M14" s="16">
        <f t="shared" si="6"/>
        <v>104098.15855164286</v>
      </c>
      <c r="N14" s="16">
        <f t="shared" si="6"/>
        <v>103774.30665277598</v>
      </c>
      <c r="O14" s="16">
        <f t="shared" si="6"/>
        <v>103291.15925986697</v>
      </c>
      <c r="P14" s="16">
        <f t="shared" si="6"/>
        <v>102542.43258943266</v>
      </c>
      <c r="Q14" s="15">
        <f t="shared" si="6"/>
        <v>101325</v>
      </c>
    </row>
    <row r="15" spans="2:17" x14ac:dyDescent="0.3">
      <c r="F15" s="9" t="s">
        <v>9</v>
      </c>
      <c r="G15" s="9">
        <f>G14/($C$7*G17)</f>
        <v>1.2679761991991174</v>
      </c>
      <c r="H15" s="9">
        <f t="shared" ref="H15:Q15" si="7">H14/($C$7*H17)</f>
        <v>1.267542966992526</v>
      </c>
      <c r="I15" s="9">
        <f t="shared" si="7"/>
        <v>1.2669755405513954</v>
      </c>
      <c r="J15" s="9">
        <f t="shared" si="7"/>
        <v>1.2662210229841522</v>
      </c>
      <c r="K15" s="9">
        <f t="shared" si="7"/>
        <v>1.2652001946082072</v>
      </c>
      <c r="L15" s="9">
        <f t="shared" si="7"/>
        <v>1.2637915660498549</v>
      </c>
      <c r="M15" s="9">
        <f t="shared" si="7"/>
        <v>1.2618031661293456</v>
      </c>
      <c r="N15" s="9">
        <f t="shared" si="7"/>
        <v>1.2589207690301487</v>
      </c>
      <c r="O15" s="9">
        <f t="shared" si="7"/>
        <v>1.2546077639231541</v>
      </c>
      <c r="P15" s="9">
        <f t="shared" si="7"/>
        <v>1.2478984222218048</v>
      </c>
      <c r="Q15" s="9">
        <f t="shared" si="7"/>
        <v>1.2369330836583028</v>
      </c>
    </row>
    <row r="17" spans="6:17" x14ac:dyDescent="0.3">
      <c r="F17" s="9" t="s">
        <v>17</v>
      </c>
      <c r="G17" s="14">
        <f>$C$11-(G13^2)/(2*$C$8)</f>
        <v>287.99932350974746</v>
      </c>
      <c r="H17" s="14">
        <f t="shared" ref="H17:Q17" si="8">$C$11-(H13^2)/(2*$C$8)</f>
        <v>287.96259571429175</v>
      </c>
      <c r="I17" s="14">
        <f t="shared" si="8"/>
        <v>287.91465705892415</v>
      </c>
      <c r="J17" s="14">
        <f t="shared" si="8"/>
        <v>287.85114855069759</v>
      </c>
      <c r="K17" s="14">
        <f t="shared" si="8"/>
        <v>287.76557047136987</v>
      </c>
      <c r="L17" s="14">
        <f t="shared" si="8"/>
        <v>287.64799971731713</v>
      </c>
      <c r="M17" s="14">
        <f t="shared" si="8"/>
        <v>287.4828289403049</v>
      </c>
      <c r="N17" s="14">
        <f t="shared" si="8"/>
        <v>287.24462947382949</v>
      </c>
      <c r="O17" s="14">
        <f t="shared" si="8"/>
        <v>286.89016243924408</v>
      </c>
      <c r="P17" s="14">
        <f t="shared" si="8"/>
        <v>286.34186930154777</v>
      </c>
      <c r="Q17" s="14">
        <f t="shared" si="8"/>
        <v>285.45054885887572</v>
      </c>
    </row>
    <row r="18" spans="6:17" x14ac:dyDescent="0.3">
      <c r="F18" s="9" t="s">
        <v>18</v>
      </c>
      <c r="G18" s="17">
        <f>SQRT($C$6*$C$7*G17)</f>
        <v>340.15707932179646</v>
      </c>
      <c r="H18" s="17">
        <f t="shared" ref="H18:Q18" si="9">SQRT($C$6*$C$7*H17)</f>
        <v>340.13538896188152</v>
      </c>
      <c r="I18" s="17">
        <f t="shared" si="9"/>
        <v>340.10707571545612</v>
      </c>
      <c r="J18" s="17">
        <f t="shared" si="9"/>
        <v>340.06956306415765</v>
      </c>
      <c r="K18" s="17">
        <f t="shared" si="9"/>
        <v>340.01900800548481</v>
      </c>
      <c r="L18" s="17">
        <f t="shared" si="9"/>
        <v>339.94954108636341</v>
      </c>
      <c r="M18" s="17">
        <f t="shared" si="9"/>
        <v>339.85192561072836</v>
      </c>
      <c r="N18" s="17">
        <f t="shared" si="9"/>
        <v>339.71110098598382</v>
      </c>
      <c r="O18" s="17">
        <f t="shared" si="9"/>
        <v>339.50143029701752</v>
      </c>
      <c r="P18" s="17">
        <f t="shared" si="9"/>
        <v>339.1768542870891</v>
      </c>
      <c r="Q18" s="17">
        <f t="shared" si="9"/>
        <v>338.64855066865556</v>
      </c>
    </row>
    <row r="19" spans="6:17" x14ac:dyDescent="0.3">
      <c r="F19" s="9" t="s">
        <v>19</v>
      </c>
      <c r="G19" s="12">
        <f>G13/G18</f>
        <v>5.2815938863228475E-2</v>
      </c>
      <c r="H19" s="12">
        <f t="shared" ref="H19:P19" si="10">H13/H18</f>
        <v>5.8545675127689191E-2</v>
      </c>
      <c r="I19" s="12">
        <f t="shared" si="10"/>
        <v>6.5273885625972791E-2</v>
      </c>
      <c r="J19" s="12">
        <f t="shared" si="10"/>
        <v>7.3244565706375955E-2</v>
      </c>
      <c r="K19" s="12">
        <f t="shared" si="10"/>
        <v>8.2784658988265883E-2</v>
      </c>
      <c r="L19" s="12">
        <f t="shared" si="10"/>
        <v>9.4338505298953323E-2</v>
      </c>
      <c r="M19" s="12">
        <f t="shared" si="10"/>
        <v>0.10852450398137596</v>
      </c>
      <c r="N19" s="12">
        <f t="shared" si="10"/>
        <v>0.12622839880696687</v>
      </c>
      <c r="O19" s="12">
        <f t="shared" si="10"/>
        <v>0.14876502037654546</v>
      </c>
      <c r="P19" s="12">
        <f t="shared" si="10"/>
        <v>0.17817825107535409</v>
      </c>
      <c r="Q19" s="12">
        <f>Q13/Q18</f>
        <v>0.21785111673146362</v>
      </c>
    </row>
    <row r="20" spans="6:17" x14ac:dyDescent="0.3">
      <c r="F20" s="9" t="s">
        <v>20</v>
      </c>
      <c r="G20" s="9">
        <f>1-((($C$6-1)/($C$6+1))*G21^2)</f>
        <v>0.9994451906278492</v>
      </c>
      <c r="H20" s="9">
        <f t="shared" ref="H20:Q20" si="11">1-((($C$6-1)/($C$6+1))*H21^2)</f>
        <v>0.99931914815499334</v>
      </c>
      <c r="I20" s="9">
        <f t="shared" si="11"/>
        <v>0.99915506397534504</v>
      </c>
      <c r="J20" s="9">
        <f t="shared" si="11"/>
        <v>0.99893843679612382</v>
      </c>
      <c r="K20" s="9">
        <f t="shared" si="11"/>
        <v>0.99864787310904413</v>
      </c>
      <c r="L20" s="9">
        <f t="shared" si="11"/>
        <v>0.99825117746287018</v>
      </c>
      <c r="M20" s="9">
        <f t="shared" si="11"/>
        <v>0.99769869398315969</v>
      </c>
      <c r="N20" s="9">
        <f t="shared" si="11"/>
        <v>0.99691169398586221</v>
      </c>
      <c r="O20" s="9">
        <f t="shared" si="11"/>
        <v>0.99576140279709935</v>
      </c>
      <c r="P20" s="9">
        <f t="shared" si="11"/>
        <v>0.9940295930298334</v>
      </c>
      <c r="Q20" s="9">
        <f t="shared" si="11"/>
        <v>0.99133102212098823</v>
      </c>
    </row>
    <row r="21" spans="6:17" x14ac:dyDescent="0.3">
      <c r="F21" s="9" t="s">
        <v>21</v>
      </c>
      <c r="G21" s="9">
        <f>SQRT(((($C$6+1)/2)*G19^2)/(1+2*G19^2))</f>
        <v>5.7696241063908013E-2</v>
      </c>
      <c r="H21" s="9">
        <f>SQRT(((($C$6+1)/2)*H19^2)/(1+2*H19^2))</f>
        <v>6.3914873621400858E-2</v>
      </c>
      <c r="I21" s="9">
        <f t="shared" ref="I21:Q21" si="12">SQRT(((($C$6+1)/2)*I19^2)/(1+2*I19^2))</f>
        <v>7.1201236983141639E-2</v>
      </c>
      <c r="J21" s="9">
        <f t="shared" si="12"/>
        <v>7.9808390682038655E-2</v>
      </c>
      <c r="K21" s="9">
        <f t="shared" si="12"/>
        <v>9.007086846331129E-2</v>
      </c>
      <c r="L21" s="9">
        <f t="shared" si="12"/>
        <v>0.10243502927601809</v>
      </c>
      <c r="M21" s="9">
        <f t="shared" si="12"/>
        <v>0.11750674917229943</v>
      </c>
      <c r="N21" s="9">
        <f t="shared" si="12"/>
        <v>0.13612434053036448</v>
      </c>
      <c r="O21" s="9">
        <f t="shared" si="12"/>
        <v>0.15947282908823032</v>
      </c>
      <c r="P21" s="9">
        <f t="shared" si="12"/>
        <v>0.18926817434793303</v>
      </c>
      <c r="Q21" s="9">
        <f t="shared" si="12"/>
        <v>0.22806548900276599</v>
      </c>
    </row>
    <row r="22" spans="6:17" x14ac:dyDescent="0.3">
      <c r="F22" s="9" t="s">
        <v>22</v>
      </c>
      <c r="G22" s="9">
        <f>(1-((($C$6-1)/($C$6+1))*G21^2))^($C$6/($C$6-1))</f>
        <v>0.99805951350771915</v>
      </c>
      <c r="H22" s="9">
        <f t="shared" ref="H22:Q22" si="13">(1-((($C$6-1)/($C$6+1))*H21^2))^($C$6/($C$6-1))</f>
        <v>0.99761904592377981</v>
      </c>
      <c r="I22" s="9">
        <f t="shared" si="13"/>
        <v>0.99704584598069135</v>
      </c>
      <c r="J22" s="9">
        <f t="shared" si="13"/>
        <v>0.99628945642929645</v>
      </c>
      <c r="K22" s="9">
        <f t="shared" si="13"/>
        <v>0.99527554905621063</v>
      </c>
      <c r="L22" s="9">
        <f t="shared" si="13"/>
        <v>0.99389248983628464</v>
      </c>
      <c r="M22" s="9">
        <f t="shared" si="13"/>
        <v>0.99196857232910385</v>
      </c>
      <c r="N22" s="9">
        <f t="shared" si="13"/>
        <v>0.98923259169120825</v>
      </c>
      <c r="O22" s="9">
        <f t="shared" si="13"/>
        <v>0.98524334326618301</v>
      </c>
      <c r="P22" s="9">
        <f t="shared" si="13"/>
        <v>0.97925906060631596</v>
      </c>
      <c r="Q22" s="9">
        <f t="shared" si="13"/>
        <v>0.96998594024949014</v>
      </c>
    </row>
    <row r="23" spans="6:17" x14ac:dyDescent="0.3">
      <c r="F23" s="9" t="s">
        <v>11</v>
      </c>
      <c r="G23" s="9">
        <f>G14/G22</f>
        <v>104999.11897601816</v>
      </c>
      <c r="H23" s="9">
        <f t="shared" ref="H23:Q23" si="14">H14/H22</f>
        <v>104996.19534829889</v>
      </c>
      <c r="I23" s="9">
        <f t="shared" si="14"/>
        <v>104992.04652363325</v>
      </c>
      <c r="J23" s="9">
        <f t="shared" si="14"/>
        <v>104986.02112708775</v>
      </c>
      <c r="K23" s="9">
        <f t="shared" si="14"/>
        <v>104977.02755099892</v>
      </c>
      <c r="L23" s="9">
        <f t="shared" si="14"/>
        <v>104963.16715266854</v>
      </c>
      <c r="M23" s="9">
        <f t="shared" si="14"/>
        <v>104940.9844781921</v>
      </c>
      <c r="N23" s="9">
        <f t="shared" si="14"/>
        <v>104903.84923060585</v>
      </c>
      <c r="O23" s="9">
        <f t="shared" si="14"/>
        <v>104838.22089824647</v>
      </c>
      <c r="P23" s="9">
        <f t="shared" si="14"/>
        <v>104714.30565671019</v>
      </c>
      <c r="Q23" s="9">
        <f t="shared" si="14"/>
        <v>104460.27699529148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aumov">
                <anchor moveWithCells="1" sizeWithCells="1">
                  <from>
                    <xdr:col>0</xdr:col>
                    <xdr:colOff>594360</xdr:colOff>
                    <xdr:row>15</xdr:row>
                    <xdr:rowOff>167640</xdr:rowOff>
                  </from>
                  <to>
                    <xdr:col>4</xdr:col>
                    <xdr:colOff>15240</xdr:colOff>
                    <xdr:row>19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M=1,5_Const</vt:lpstr>
      <vt:lpstr>M=1,5_Var</vt:lpstr>
      <vt:lpstr>Const_p135</vt:lpstr>
      <vt:lpstr>Var_p135</vt:lpstr>
      <vt:lpstr>Const_p105</vt:lpstr>
      <vt:lpstr>Var_p105</vt:lpstr>
    </vt:vector>
  </TitlesOfParts>
  <Company>SPecialiST RePack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Naumov</dc:creator>
  <cp:lastModifiedBy>Полина Киселева</cp:lastModifiedBy>
  <dcterms:created xsi:type="dcterms:W3CDTF">2021-05-23T07:23:58Z</dcterms:created>
  <dcterms:modified xsi:type="dcterms:W3CDTF">2021-05-23T19:48:49Z</dcterms:modified>
</cp:coreProperties>
</file>